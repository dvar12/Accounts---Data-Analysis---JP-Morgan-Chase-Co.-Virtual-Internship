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ef055b2b699e1ee/Desktop/"/>
    </mc:Choice>
  </mc:AlternateContent>
  <xr:revisionPtr revIDLastSave="0" documentId="8_{A03699D3-C74D-44BC-8A91-35951550ADE1}" xr6:coauthVersionLast="47" xr6:coauthVersionMax="47" xr10:uidLastSave="{00000000-0000-0000-0000-000000000000}"/>
  <bookViews>
    <workbookView xWindow="-108" yWindow="-108" windowWidth="23256" windowHeight="12456" xr2:uid="{88D75A90-26BD-438C-8A87-D80F31A6A432}"/>
  </bookViews>
  <sheets>
    <sheet name="Table1" sheetId="2" r:id="rId1"/>
    <sheet name="Sheet1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" i="1" l="1"/>
  <c r="R8" i="1"/>
  <c r="R6" i="1"/>
  <c r="R7" i="1"/>
  <c r="R9" i="1"/>
  <c r="R10" i="1"/>
  <c r="R11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1EE726-BF72-48D7-AC27-9E8D09518119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<sst xmlns="http://schemas.openxmlformats.org/spreadsheetml/2006/main" count="1490" uniqueCount="284">
  <si>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</si>
  <si>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</si>
  <si>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</si>
  <si>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</si>
  <si>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</si>
  <si>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</si>
  <si>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</si>
  <si>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</si>
  <si>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</si>
  <si>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</si>
  <si>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</si>
  <si>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</si>
  <si>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</si>
  <si>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</si>
  <si>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</si>
  <si>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</si>
  <si>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</si>
  <si>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</si>
  <si>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</si>
  <si>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</si>
  <si>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</si>
  <si>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</si>
  <si>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</si>
  <si>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</si>
  <si>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</si>
  <si>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</si>
  <si>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</si>
  <si>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</si>
  <si>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</si>
  <si>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</si>
  <si>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</si>
  <si>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</si>
  <si>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</si>
  <si>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</si>
  <si>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</si>
  <si>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</si>
  <si>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</si>
  <si>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</si>
  <si>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</si>
  <si>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</si>
  <si>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</si>
  <si>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</si>
  <si>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</si>
  <si>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</si>
  <si>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</si>
  <si>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</si>
  <si>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</si>
  <si>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</si>
  <si>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</si>
  <si>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</si>
  <si>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</si>
  <si>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</si>
  <si>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</si>
  <si>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</si>
  <si>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</si>
  <si>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</si>
  <si>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</si>
  <si>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</si>
  <si>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</si>
  <si>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</si>
  <si>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</si>
  <si>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</si>
  <si>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</si>
  <si>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</si>
  <si>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</si>
  <si>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</si>
  <si>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</si>
  <si>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</si>
  <si>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</si>
  <si>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</si>
  <si>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</si>
  <si>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</si>
  <si>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</si>
  <si>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</si>
  <si>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</si>
  <si>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</si>
  <si>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</si>
  <si>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</si>
  <si>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</si>
  <si>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</si>
  <si>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</si>
  <si>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</si>
  <si>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</si>
  <si>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</si>
  <si>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</si>
  <si>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</si>
  <si>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</si>
  <si>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</si>
  <si>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</si>
  <si>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</si>
  <si>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</si>
  <si>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</si>
  <si>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</si>
  <si>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</si>
  <si>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</si>
  <si>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</si>
  <si>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</si>
  <si>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</si>
  <si>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</si>
  <si>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</si>
  <si>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</si>
  <si>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</si>
  <si>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</si>
  <si>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</si>
  <si>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</si>
  <si>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</si>
  <si>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</si>
  <si>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</si>
  <si>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</si>
  <si>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</si>
  <si>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</si>
  <si>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</si>
  <si>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</si>
  <si>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</si>
  <si>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</si>
  <si>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</si>
  <si>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</si>
  <si>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</si>
  <si>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</si>
  <si>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</si>
  <si>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</si>
  <si>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</si>
  <si>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</si>
  <si>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</si>
  <si>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</si>
  <si>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</si>
  <si>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</si>
  <si>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</si>
  <si>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</si>
  <si>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</si>
  <si>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</si>
  <si>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</si>
  <si>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</si>
  <si>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</si>
  <si>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</si>
  <si>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</si>
  <si>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</si>
  <si>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</si>
  <si>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</si>
  <si>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</si>
  <si>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</si>
  <si>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</si>
  <si>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</si>
  <si>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</si>
  <si>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</si>
  <si>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</si>
  <si>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</si>
  <si>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</si>
  <si>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</si>
  <si>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</si>
  <si>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</si>
  <si>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</si>
  <si>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</si>
  <si>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</si>
  <si>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</si>
  <si>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</si>
  <si>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</si>
  <si>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</si>
  <si>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</si>
  <si>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</si>
  <si>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</si>
  <si>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</si>
  <si>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</si>
  <si>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</si>
  <si>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</si>
  <si>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</si>
  <si>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</si>
  <si>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</si>
  <si>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</si>
  <si>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</si>
  <si>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</si>
  <si>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</si>
  <si>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</si>
  <si>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</si>
  <si>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</si>
  <si>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</si>
  <si>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</si>
  <si>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</si>
  <si>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</si>
  <si>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</si>
  <si>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</si>
  <si>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</si>
  <si>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</si>
  <si>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</si>
  <si>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</si>
  <si>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</si>
  <si>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</si>
  <si>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</si>
  <si>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</si>
  <si>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</si>
  <si>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</si>
  <si>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</si>
  <si>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</si>
  <si>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</si>
  <si>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</si>
  <si>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</si>
  <si>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</si>
  <si>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</si>
  <si>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</si>
  <si>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</si>
  <si>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</si>
  <si>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</si>
  <si>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</si>
  <si>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</si>
  <si>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</si>
  <si>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</si>
  <si>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</si>
  <si>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</si>
  <si>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</si>
  <si>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</si>
  <si>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</si>
  <si>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</si>
  <si>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</si>
  <si>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</si>
  <si>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</si>
  <si>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</si>
  <si>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</si>
  <si>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</si>
  <si>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</si>
  <si>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</si>
  <si>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</si>
  <si>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</si>
  <si>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</si>
  <si>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</si>
  <si>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</si>
  <si>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</si>
  <si>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</si>
  <si>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</si>
  <si>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</si>
  <si>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</si>
  <si>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</si>
  <si>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</si>
  <si>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</si>
  <si>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</si>
  <si>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</si>
  <si>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</si>
  <si>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</si>
  <si>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</si>
  <si>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</si>
  <si>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</si>
  <si>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</si>
  <si>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</si>
  <si>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</si>
  <si>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</si>
  <si>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</si>
  <si>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</si>
  <si>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</si>
  <si>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</si>
  <si>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</si>
  <si>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</si>
  <si>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</si>
  <si>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</si>
  <si>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</si>
  <si>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</si>
  <si>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</si>
  <si>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</si>
  <si>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</si>
  <si>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</si>
  <si>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</si>
  <si>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</si>
  <si>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</si>
  <si>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</si>
  <si>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</si>
  <si>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</si>
  <si>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</si>
  <si>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</si>
  <si>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</si>
  <si>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</si>
  <si>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</si>
  <si>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</si>
  <si>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</si>
  <si>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</si>
  <si>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</si>
  <si>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</si>
  <si>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</si>
  <si>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</si>
  <si>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</si>
  <si>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</si>
  <si>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2017</t>
  </si>
  <si>
    <t>2018</t>
  </si>
  <si>
    <t>2019</t>
  </si>
  <si>
    <t>2020</t>
  </si>
  <si>
    <t>2021</t>
  </si>
  <si>
    <t>5 YR CAGR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</si>
</sst>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theme="9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4" borderId="0" xfId="0" applyFont="1" applyFill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7" borderId="0" xfId="0" applyNumberFormat="1" applyFont="1" applyFill="1" applyBorder="1"/>
    <xf numFmtId="0" fontId="0" fillId="7" borderId="0" xfId="0" applyFont="1" applyFill="1" applyBorder="1"/>
    <xf numFmtId="9" fontId="0" fillId="7" borderId="0" xfId="1" applyFont="1" applyFill="1" applyBorder="1"/>
    <xf numFmtId="0" fontId="0" fillId="7" borderId="0" xfId="0" applyFill="1" applyBorder="1"/>
    <xf numFmtId="0" fontId="0" fillId="5" borderId="0" xfId="0" applyNumberFormat="1" applyFont="1" applyFill="1" applyBorder="1"/>
    <xf numFmtId="0" fontId="0" fillId="5" borderId="0" xfId="0" applyFont="1" applyFill="1" applyBorder="1"/>
    <xf numFmtId="9" fontId="0" fillId="5" borderId="0" xfId="1" applyFont="1" applyFill="1" applyBorder="1"/>
    <xf numFmtId="49" fontId="1" fillId="6" borderId="1" xfId="0" applyNumberFormat="1" applyFont="1" applyFill="1" applyBorder="1"/>
    <xf numFmtId="49" fontId="1" fillId="6" borderId="2" xfId="0" applyNumberFormat="1" applyFont="1" applyFill="1" applyBorder="1"/>
    <xf numFmtId="49" fontId="0" fillId="7" borderId="2" xfId="0" applyNumberFormat="1" applyFont="1" applyFill="1" applyBorder="1"/>
    <xf numFmtId="0" fontId="0" fillId="7" borderId="3" xfId="0" applyNumberFormat="1" applyFont="1" applyFill="1" applyBorder="1"/>
    <xf numFmtId="0" fontId="0" fillId="5" borderId="3" xfId="0" applyNumberFormat="1" applyFont="1" applyFill="1" applyBorder="1"/>
    <xf numFmtId="0" fontId="0" fillId="7" borderId="3" xfId="0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indexed="64"/>
          <bgColor rgb="FF00B050"/>
        </patternFill>
      </fill>
    </dxf>
    <dxf>
      <numFmt numFmtId="13" formatCode="0%"/>
    </dxf>
  </dxfs>
  <tableStyles count="1" defaultTableStyle="TableStyleMedium2" defaultPivotStyle="PivotStyleLight16">
    <tableStyle name="Invisible" pivot="0" table="0" count="0" xr9:uid="{0C969E3A-D44C-4DB7-B37C-7739A5E3687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220980</xdr:colOff>
          <xdr:row>1</xdr:row>
          <xdr:rowOff>60960</xdr:rowOff>
        </xdr:from>
        <xdr:to>
          <xdr:col>20</xdr:col>
          <xdr:colOff>106680</xdr:colOff>
          <xdr:row>6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5 CAGR 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236220</xdr:colOff>
          <xdr:row>7</xdr:row>
          <xdr:rowOff>83820</xdr:rowOff>
        </xdr:from>
        <xdr:to>
          <xdr:col>20</xdr:col>
          <xdr:colOff>106680</xdr:colOff>
          <xdr:row>11</xdr:row>
          <xdr:rowOff>137160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2021 sales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8E7FA9-A254-4F8D-88AA-2C960229D0AF}" name="Table1" displayName="Table1" ref="A3:R64" totalsRowShown="0" headerRowDxfId="0">
  <autoFilter ref="A3:R64" xr:uid="{828E7FA9-A254-4F8D-88AA-2C960229D0AF}"/>
  <tableColumns count="18">
    <tableColumn id="1" xr3:uid="{C114EA31-78F0-4EFF-99D2-2CFDB67EAD33}" name="Column1"/>
    <tableColumn id="2" xr3:uid="{3000589C-784F-4793-8DBC-DF40B98F2735}" name="Column2"/>
    <tableColumn id="3" xr3:uid="{8ED9DE82-7F8C-43F4-87B1-E7D2B7EDCC5A}" name="Column3"/>
    <tableColumn id="4" xr3:uid="{82AAAC9C-C48F-4CB9-A46F-7B291869BCD7}" name="Column4"/>
    <tableColumn id="5" xr3:uid="{D84D2E1A-2606-43E2-8034-2492AE0B8204}" name="Column5"/>
    <tableColumn id="6" xr3:uid="{32AD0578-33CB-433B-9D03-41C2EF3FB4C4}" name="Product Lines"/>
    <tableColumn id="7" xr3:uid="{1B3047AE-8E3D-4DC6-9876-B8E55A915727}" name="Column6"/>
    <tableColumn id="8" xr3:uid="{AF393F8F-3CDF-4178-9222-ACEEE1B75E6B}" name="Column7"/>
    <tableColumn id="9" xr3:uid="{8E776D63-792B-43DA-B0C1-9456AB266254}" name="Marketing / Promotion Programs"/>
    <tableColumn id="10" xr3:uid="{49C3C1EF-F0DE-478E-88D0-418A9706D3AD}" name="Column8"/>
    <tableColumn id="11" xr3:uid="{128D258A-7B7E-443F-A291-3D06023702C9}" name="Column9"/>
    <tableColumn id="12" xr3:uid="{80AC04CC-6500-43EC-982D-A4BF14AA8982}" name="Column10"/>
    <tableColumn id="13" xr3:uid="{7CDE6417-6093-4C5C-A609-15CBE94AE08B}" name="Product 1 Sales Volume (units)"/>
    <tableColumn id="14" xr3:uid="{BAB8FA82-4BCC-4854-9C7D-85C5BC5F5E52}" name="Column11"/>
    <tableColumn id="15" xr3:uid="{BE3AFC04-BC86-4D9A-AB7E-2357560736A2}" name="Column12"/>
    <tableColumn id="16" xr3:uid="{D0E2FA39-5683-44B9-A7F3-C21C6C322AB0}" name="Column13"/>
    <tableColumn id="17" xr3:uid="{654BF5C7-E771-4FD1-9107-8627F43A34A5}" name="Column14"/>
    <tableColumn id="18" xr3:uid="{17C0C525-B681-4E28-913D-94D562E5A281}" name="Column15" dataDxfId="1">
      <calculatedColumnFormula>_xlfn.RRI($Q$4-$M$4,M4,Q4)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6CCF-3F78-47F4-8BD7-E89D3CBF19DF}">
  <sheetPr codeName="Sheet1"/>
  <dimension ref="A1:R61"/>
  <sheetViews>
    <sheetView tabSelected="1" topLeftCell="D1" zoomScale="85" workbookViewId="0">
      <selection activeCell="A3" sqref="A3"/>
    </sheetView>
  </sheetViews>
  <sheetFormatPr defaultRowHeight="14.4" x14ac:dyDescent="0.3"/>
  <cols>
    <col min="1" max="1" width="15.77734375" style="21" bestFit="1" customWidth="1"/>
    <col min="2" max="2" width="38.5546875" style="12" bestFit="1" customWidth="1"/>
    <col min="3" max="3" width="17" style="12" bestFit="1" customWidth="1"/>
    <col min="4" max="4" width="16.109375" style="12" bestFit="1" customWidth="1"/>
    <col min="5" max="5" width="18.88671875" style="12" bestFit="1" customWidth="1"/>
    <col min="6" max="8" width="11.33203125" style="12" bestFit="1" customWidth="1"/>
    <col min="9" max="9" width="13.88671875" style="12" bestFit="1" customWidth="1"/>
    <col min="10" max="10" width="10.6640625" style="12" bestFit="1" customWidth="1"/>
    <col min="11" max="11" width="17.6640625" style="12" bestFit="1" customWidth="1"/>
    <col min="12" max="12" width="9.33203125" style="12" bestFit="1" customWidth="1"/>
    <col min="13" max="17" width="7.21875" style="12" bestFit="1" customWidth="1"/>
    <col min="18" max="18" width="12.6640625" style="12" bestFit="1" customWidth="1"/>
    <col min="19" max="16384" width="8.88671875" style="12"/>
  </cols>
  <sheetData>
    <row r="1" spans="1:18" s="18" customFormat="1" x14ac:dyDescent="0.3">
      <c r="A1" s="16" t="s">
        <v>4</v>
      </c>
      <c r="B1" s="17" t="s">
        <v>5</v>
      </c>
      <c r="C1" s="17" t="s">
        <v>6</v>
      </c>
      <c r="D1" s="17" t="s">
        <v>7</v>
      </c>
      <c r="E1" s="17" t="s">
        <v>8</v>
      </c>
      <c r="F1" s="17" t="s">
        <v>9</v>
      </c>
      <c r="G1" s="17" t="s">
        <v>10</v>
      </c>
      <c r="H1" s="17" t="s">
        <v>11</v>
      </c>
      <c r="I1" s="17" t="s">
        <v>12</v>
      </c>
      <c r="J1" s="17" t="s">
        <v>13</v>
      </c>
      <c r="K1" s="17" t="s">
        <v>14</v>
      </c>
      <c r="L1" s="17" t="s">
        <v>15</v>
      </c>
      <c r="M1" s="17" t="s">
        <v>278</v>
      </c>
      <c r="N1" s="17" t="s">
        <v>279</v>
      </c>
      <c r="O1" s="17" t="s">
        <v>280</v>
      </c>
      <c r="P1" s="17" t="s">
        <v>281</v>
      </c>
      <c r="Q1" s="17" t="s">
        <v>282</v>
      </c>
      <c r="R1" s="17" t="s">
        <v>283</v>
      </c>
    </row>
    <row r="2" spans="1:18" x14ac:dyDescent="0.3">
      <c r="A2" s="19" t="s">
        <v>105</v>
      </c>
      <c r="B2" s="9" t="s">
        <v>106</v>
      </c>
      <c r="C2" s="9" t="s">
        <v>107</v>
      </c>
      <c r="D2" s="9" t="s">
        <v>108</v>
      </c>
      <c r="E2" s="9" t="s">
        <v>84</v>
      </c>
      <c r="F2" s="9" t="s">
        <v>22</v>
      </c>
      <c r="G2" s="9" t="s">
        <v>22</v>
      </c>
      <c r="H2" s="9" t="s">
        <v>27</v>
      </c>
      <c r="I2" s="9" t="s">
        <v>22</v>
      </c>
      <c r="J2" s="9" t="s">
        <v>27</v>
      </c>
      <c r="K2" s="9" t="s">
        <v>22</v>
      </c>
      <c r="L2" s="9" t="s">
        <v>27</v>
      </c>
      <c r="M2" s="10">
        <v>1368</v>
      </c>
      <c r="N2" s="10">
        <v>3447</v>
      </c>
      <c r="O2" s="10">
        <v>4535</v>
      </c>
      <c r="P2" s="10">
        <v>5476</v>
      </c>
      <c r="Q2" s="10">
        <v>9983</v>
      </c>
      <c r="R2" s="11">
        <v>0.64359095818904999</v>
      </c>
    </row>
    <row r="3" spans="1:18" x14ac:dyDescent="0.3">
      <c r="A3" s="20" t="s">
        <v>166</v>
      </c>
      <c r="B3" s="13" t="s">
        <v>167</v>
      </c>
      <c r="C3" s="13" t="s">
        <v>168</v>
      </c>
      <c r="D3" s="13" t="s">
        <v>169</v>
      </c>
      <c r="E3" s="13" t="s">
        <v>145</v>
      </c>
      <c r="F3" s="13" t="s">
        <v>22</v>
      </c>
      <c r="G3" s="13" t="s">
        <v>22</v>
      </c>
      <c r="H3" s="13" t="s">
        <v>22</v>
      </c>
      <c r="I3" s="13" t="s">
        <v>22</v>
      </c>
      <c r="J3" s="13" t="s">
        <v>22</v>
      </c>
      <c r="K3" s="13" t="s">
        <v>22</v>
      </c>
      <c r="L3" s="13" t="s">
        <v>22</v>
      </c>
      <c r="M3" s="14">
        <v>742</v>
      </c>
      <c r="N3" s="14">
        <v>3751</v>
      </c>
      <c r="O3" s="14">
        <v>4423</v>
      </c>
      <c r="P3" s="14">
        <v>8733</v>
      </c>
      <c r="Q3" s="14">
        <v>9909</v>
      </c>
      <c r="R3" s="15">
        <v>0.91164163510334195</v>
      </c>
    </row>
    <row r="4" spans="1:18" x14ac:dyDescent="0.3">
      <c r="A4" s="20" t="s">
        <v>223</v>
      </c>
      <c r="B4" s="13" t="s">
        <v>224</v>
      </c>
      <c r="C4" s="13" t="s">
        <v>225</v>
      </c>
      <c r="D4" s="13" t="s">
        <v>226</v>
      </c>
      <c r="E4" s="13" t="s">
        <v>206</v>
      </c>
      <c r="F4" s="13" t="s">
        <v>22</v>
      </c>
      <c r="G4" s="13" t="s">
        <v>22</v>
      </c>
      <c r="H4" s="13" t="s">
        <v>22</v>
      </c>
      <c r="I4" s="13" t="s">
        <v>27</v>
      </c>
      <c r="J4" s="13" t="s">
        <v>27</v>
      </c>
      <c r="K4" s="13" t="s">
        <v>22</v>
      </c>
      <c r="L4" s="13" t="s">
        <v>27</v>
      </c>
      <c r="M4" s="14">
        <v>1497</v>
      </c>
      <c r="N4" s="14">
        <v>1768</v>
      </c>
      <c r="O4" s="14">
        <v>2804</v>
      </c>
      <c r="P4" s="14">
        <v>5718</v>
      </c>
      <c r="Q4" s="14">
        <v>9822</v>
      </c>
      <c r="R4" s="15">
        <v>0.60045892388204303</v>
      </c>
    </row>
    <row r="5" spans="1:18" x14ac:dyDescent="0.3">
      <c r="A5" s="20" t="s">
        <v>28</v>
      </c>
      <c r="B5" s="13" t="s">
        <v>29</v>
      </c>
      <c r="C5" s="13" t="s">
        <v>30</v>
      </c>
      <c r="D5" s="13" t="s">
        <v>31</v>
      </c>
      <c r="E5" s="13" t="s">
        <v>21</v>
      </c>
      <c r="F5" s="13" t="s">
        <v>22</v>
      </c>
      <c r="G5" s="13" t="s">
        <v>22</v>
      </c>
      <c r="H5" s="13" t="s">
        <v>22</v>
      </c>
      <c r="I5" s="13" t="s">
        <v>22</v>
      </c>
      <c r="J5" s="13" t="s">
        <v>22</v>
      </c>
      <c r="K5" s="13" t="s">
        <v>22</v>
      </c>
      <c r="L5" s="13" t="s">
        <v>22</v>
      </c>
      <c r="M5" s="14">
        <v>1209</v>
      </c>
      <c r="N5" s="14">
        <v>1534</v>
      </c>
      <c r="O5" s="14">
        <v>1634</v>
      </c>
      <c r="P5" s="14">
        <v>4302</v>
      </c>
      <c r="Q5" s="14">
        <v>9768</v>
      </c>
      <c r="R5" s="15">
        <v>0.68595057009486804</v>
      </c>
    </row>
    <row r="6" spans="1:18" x14ac:dyDescent="0.3">
      <c r="A6" s="19" t="s">
        <v>219</v>
      </c>
      <c r="B6" s="9" t="s">
        <v>220</v>
      </c>
      <c r="C6" s="9" t="s">
        <v>221</v>
      </c>
      <c r="D6" s="9" t="s">
        <v>222</v>
      </c>
      <c r="E6" s="9" t="s">
        <v>206</v>
      </c>
      <c r="F6" s="9" t="s">
        <v>22</v>
      </c>
      <c r="G6" s="9" t="s">
        <v>22</v>
      </c>
      <c r="H6" s="9" t="s">
        <v>22</v>
      </c>
      <c r="I6" s="9" t="s">
        <v>27</v>
      </c>
      <c r="J6" s="9" t="s">
        <v>27</v>
      </c>
      <c r="K6" s="9" t="s">
        <v>22</v>
      </c>
      <c r="L6" s="9" t="s">
        <v>27</v>
      </c>
      <c r="M6" s="10">
        <v>870</v>
      </c>
      <c r="N6" s="10">
        <v>2428</v>
      </c>
      <c r="O6" s="10">
        <v>7386</v>
      </c>
      <c r="P6" s="10">
        <v>8835</v>
      </c>
      <c r="Q6" s="10">
        <v>9766</v>
      </c>
      <c r="R6" s="11">
        <v>0.83041416010220903</v>
      </c>
    </row>
    <row r="7" spans="1:18" x14ac:dyDescent="0.3">
      <c r="A7" s="19" t="s">
        <v>48</v>
      </c>
      <c r="B7" s="9" t="s">
        <v>49</v>
      </c>
      <c r="C7" s="9" t="s">
        <v>50</v>
      </c>
      <c r="D7" s="9" t="s">
        <v>51</v>
      </c>
      <c r="E7" s="9" t="s">
        <v>21</v>
      </c>
      <c r="F7" s="9" t="s">
        <v>22</v>
      </c>
      <c r="G7" s="9" t="s">
        <v>27</v>
      </c>
      <c r="H7" s="9" t="s">
        <v>22</v>
      </c>
      <c r="I7" s="9" t="s">
        <v>22</v>
      </c>
      <c r="J7" s="9" t="s">
        <v>27</v>
      </c>
      <c r="K7" s="9" t="s">
        <v>22</v>
      </c>
      <c r="L7" s="9" t="s">
        <v>27</v>
      </c>
      <c r="M7" s="10">
        <v>1581</v>
      </c>
      <c r="N7" s="10">
        <v>4799</v>
      </c>
      <c r="O7" s="10">
        <v>6582</v>
      </c>
      <c r="P7" s="10">
        <v>9024</v>
      </c>
      <c r="Q7" s="10">
        <v>9759</v>
      </c>
      <c r="R7" s="11">
        <v>0.57622554654037395</v>
      </c>
    </row>
    <row r="8" spans="1:18" x14ac:dyDescent="0.3">
      <c r="A8" s="19" t="s">
        <v>251</v>
      </c>
      <c r="B8" s="9" t="s">
        <v>252</v>
      </c>
      <c r="C8" s="9" t="s">
        <v>253</v>
      </c>
      <c r="D8" s="9" t="s">
        <v>254</v>
      </c>
      <c r="E8" s="9" t="s">
        <v>206</v>
      </c>
      <c r="F8" s="9" t="s">
        <v>22</v>
      </c>
      <c r="G8" s="9" t="s">
        <v>22</v>
      </c>
      <c r="H8" s="9" t="s">
        <v>22</v>
      </c>
      <c r="I8" s="9" t="s">
        <v>27</v>
      </c>
      <c r="J8" s="9" t="s">
        <v>27</v>
      </c>
      <c r="K8" s="9" t="s">
        <v>27</v>
      </c>
      <c r="L8" s="9" t="s">
        <v>27</v>
      </c>
      <c r="M8" s="10">
        <v>1263</v>
      </c>
      <c r="N8" s="10">
        <v>2517</v>
      </c>
      <c r="O8" s="10">
        <v>8042</v>
      </c>
      <c r="P8" s="10">
        <v>8222</v>
      </c>
      <c r="Q8" s="10">
        <v>9686</v>
      </c>
      <c r="R8" s="11">
        <v>0.66412244620782201</v>
      </c>
    </row>
    <row r="9" spans="1:18" x14ac:dyDescent="0.3">
      <c r="A9" s="19" t="s">
        <v>235</v>
      </c>
      <c r="B9" s="9" t="s">
        <v>236</v>
      </c>
      <c r="C9" s="9" t="s">
        <v>237</v>
      </c>
      <c r="D9" s="9" t="s">
        <v>238</v>
      </c>
      <c r="E9" s="9" t="s">
        <v>206</v>
      </c>
      <c r="F9" s="9" t="s">
        <v>22</v>
      </c>
      <c r="G9" s="9" t="s">
        <v>22</v>
      </c>
      <c r="H9" s="9" t="s">
        <v>22</v>
      </c>
      <c r="I9" s="9" t="s">
        <v>27</v>
      </c>
      <c r="J9" s="9" t="s">
        <v>27</v>
      </c>
      <c r="K9" s="9" t="s">
        <v>22</v>
      </c>
      <c r="L9" s="9" t="s">
        <v>27</v>
      </c>
      <c r="M9" s="10">
        <v>1357</v>
      </c>
      <c r="N9" s="10">
        <v>4189</v>
      </c>
      <c r="O9" s="10">
        <v>5407</v>
      </c>
      <c r="P9" s="10">
        <v>6233</v>
      </c>
      <c r="Q9" s="10">
        <v>9681</v>
      </c>
      <c r="R9" s="11">
        <v>0.63431246502429794</v>
      </c>
    </row>
    <row r="10" spans="1:18" x14ac:dyDescent="0.3">
      <c r="A10" s="19" t="s">
        <v>186</v>
      </c>
      <c r="B10" s="9" t="s">
        <v>187</v>
      </c>
      <c r="C10" s="9" t="s">
        <v>188</v>
      </c>
      <c r="D10" s="9" t="s">
        <v>189</v>
      </c>
      <c r="E10" s="9" t="s">
        <v>145</v>
      </c>
      <c r="F10" s="9" t="s">
        <v>22</v>
      </c>
      <c r="G10" s="9" t="s">
        <v>22</v>
      </c>
      <c r="H10" s="9" t="s">
        <v>22</v>
      </c>
      <c r="I10" s="9" t="s">
        <v>22</v>
      </c>
      <c r="J10" s="9" t="s">
        <v>22</v>
      </c>
      <c r="K10" s="9" t="s">
        <v>22</v>
      </c>
      <c r="L10" s="9" t="s">
        <v>22</v>
      </c>
      <c r="M10" s="10">
        <v>1038</v>
      </c>
      <c r="N10" s="10">
        <v>3615</v>
      </c>
      <c r="O10" s="10">
        <v>3712</v>
      </c>
      <c r="P10" s="10">
        <v>5819</v>
      </c>
      <c r="Q10" s="10">
        <v>9589</v>
      </c>
      <c r="R10" s="11">
        <v>0.74338775485751696</v>
      </c>
    </row>
    <row r="11" spans="1:18" x14ac:dyDescent="0.3">
      <c r="A11" s="19" t="s">
        <v>154</v>
      </c>
      <c r="B11" s="9" t="s">
        <v>155</v>
      </c>
      <c r="C11" s="9" t="s">
        <v>156</v>
      </c>
      <c r="D11" s="9" t="s">
        <v>157</v>
      </c>
      <c r="E11" s="9" t="s">
        <v>145</v>
      </c>
      <c r="F11" s="9" t="s">
        <v>22</v>
      </c>
      <c r="G11" s="9" t="s">
        <v>22</v>
      </c>
      <c r="H11" s="9" t="s">
        <v>22</v>
      </c>
      <c r="I11" s="9" t="s">
        <v>27</v>
      </c>
      <c r="J11" s="9" t="s">
        <v>27</v>
      </c>
      <c r="K11" s="9" t="s">
        <v>22</v>
      </c>
      <c r="L11" s="9" t="s">
        <v>22</v>
      </c>
      <c r="M11" s="10">
        <v>3297</v>
      </c>
      <c r="N11" s="10">
        <v>4866</v>
      </c>
      <c r="O11" s="10">
        <v>4928</v>
      </c>
      <c r="P11" s="10">
        <v>8451</v>
      </c>
      <c r="Q11" s="10">
        <v>9585</v>
      </c>
      <c r="R11" s="11">
        <v>0.30577482876902201</v>
      </c>
    </row>
    <row r="12" spans="1:18" x14ac:dyDescent="0.3">
      <c r="A12" s="20" t="s">
        <v>117</v>
      </c>
      <c r="B12" s="13" t="s">
        <v>118</v>
      </c>
      <c r="C12" s="13" t="s">
        <v>119</v>
      </c>
      <c r="D12" s="13" t="s">
        <v>120</v>
      </c>
      <c r="E12" s="13" t="s">
        <v>84</v>
      </c>
      <c r="F12" s="13" t="s">
        <v>22</v>
      </c>
      <c r="G12" s="13" t="s">
        <v>22</v>
      </c>
      <c r="H12" s="13" t="s">
        <v>27</v>
      </c>
      <c r="I12" s="13" t="s">
        <v>22</v>
      </c>
      <c r="J12" s="13" t="s">
        <v>22</v>
      </c>
      <c r="K12" s="13" t="s">
        <v>22</v>
      </c>
      <c r="L12" s="13" t="s">
        <v>27</v>
      </c>
      <c r="M12" s="14">
        <v>570</v>
      </c>
      <c r="N12" s="14">
        <v>1322</v>
      </c>
      <c r="O12" s="14">
        <v>7279</v>
      </c>
      <c r="P12" s="14">
        <v>8443</v>
      </c>
      <c r="Q12" s="14">
        <v>9571</v>
      </c>
      <c r="R12" s="15">
        <v>1.0242801438529201</v>
      </c>
    </row>
    <row r="13" spans="1:18" x14ac:dyDescent="0.3">
      <c r="A13" s="19" t="s">
        <v>113</v>
      </c>
      <c r="B13" s="9" t="s">
        <v>114</v>
      </c>
      <c r="C13" s="9" t="s">
        <v>115</v>
      </c>
      <c r="D13" s="9" t="s">
        <v>116</v>
      </c>
      <c r="E13" s="9" t="s">
        <v>84</v>
      </c>
      <c r="F13" s="9" t="s">
        <v>22</v>
      </c>
      <c r="G13" s="9" t="s">
        <v>22</v>
      </c>
      <c r="H13" s="9" t="s">
        <v>27</v>
      </c>
      <c r="I13" s="9" t="s">
        <v>22</v>
      </c>
      <c r="J13" s="9" t="s">
        <v>22</v>
      </c>
      <c r="K13" s="9" t="s">
        <v>22</v>
      </c>
      <c r="L13" s="9" t="s">
        <v>27</v>
      </c>
      <c r="M13" s="10">
        <v>1779</v>
      </c>
      <c r="N13" s="10">
        <v>2124</v>
      </c>
      <c r="O13" s="10">
        <v>2844</v>
      </c>
      <c r="P13" s="10">
        <v>6877</v>
      </c>
      <c r="Q13" s="10">
        <v>9570</v>
      </c>
      <c r="R13" s="11">
        <v>0.52294422157633302</v>
      </c>
    </row>
    <row r="14" spans="1:18" x14ac:dyDescent="0.3">
      <c r="A14" s="20" t="s">
        <v>158</v>
      </c>
      <c r="B14" s="13" t="s">
        <v>159</v>
      </c>
      <c r="C14" s="13" t="s">
        <v>160</v>
      </c>
      <c r="D14" s="13" t="s">
        <v>161</v>
      </c>
      <c r="E14" s="13" t="s">
        <v>145</v>
      </c>
      <c r="F14" s="13" t="s">
        <v>22</v>
      </c>
      <c r="G14" s="13" t="s">
        <v>22</v>
      </c>
      <c r="H14" s="13" t="s">
        <v>22</v>
      </c>
      <c r="I14" s="13" t="s">
        <v>22</v>
      </c>
      <c r="J14" s="13" t="s">
        <v>22</v>
      </c>
      <c r="K14" s="13" t="s">
        <v>22</v>
      </c>
      <c r="L14" s="13" t="s">
        <v>22</v>
      </c>
      <c r="M14" s="14">
        <v>1092</v>
      </c>
      <c r="N14" s="14">
        <v>3140</v>
      </c>
      <c r="O14" s="14">
        <v>4123</v>
      </c>
      <c r="P14" s="14">
        <v>4366</v>
      </c>
      <c r="Q14" s="14">
        <v>9482</v>
      </c>
      <c r="R14" s="15">
        <v>0.71660086943635504</v>
      </c>
    </row>
    <row r="15" spans="1:18" x14ac:dyDescent="0.3">
      <c r="A15" s="19" t="s">
        <v>32</v>
      </c>
      <c r="B15" s="9" t="s">
        <v>33</v>
      </c>
      <c r="C15" s="9" t="s">
        <v>34</v>
      </c>
      <c r="D15" s="9" t="s">
        <v>35</v>
      </c>
      <c r="E15" s="9" t="s">
        <v>21</v>
      </c>
      <c r="F15" s="9" t="s">
        <v>22</v>
      </c>
      <c r="G15" s="9" t="s">
        <v>22</v>
      </c>
      <c r="H15" s="9" t="s">
        <v>22</v>
      </c>
      <c r="I15" s="9" t="s">
        <v>22</v>
      </c>
      <c r="J15" s="9" t="s">
        <v>22</v>
      </c>
      <c r="K15" s="9" t="s">
        <v>22</v>
      </c>
      <c r="L15" s="9" t="s">
        <v>22</v>
      </c>
      <c r="M15" s="10">
        <v>906</v>
      </c>
      <c r="N15" s="10">
        <v>1251</v>
      </c>
      <c r="O15" s="10">
        <v>2897</v>
      </c>
      <c r="P15" s="10">
        <v>4499</v>
      </c>
      <c r="Q15" s="10">
        <v>9428</v>
      </c>
      <c r="R15" s="11">
        <v>0.79606828454142997</v>
      </c>
    </row>
    <row r="16" spans="1:18" x14ac:dyDescent="0.3">
      <c r="A16" s="19" t="s">
        <v>162</v>
      </c>
      <c r="B16" s="9" t="s">
        <v>163</v>
      </c>
      <c r="C16" s="9" t="s">
        <v>164</v>
      </c>
      <c r="D16" s="9" t="s">
        <v>165</v>
      </c>
      <c r="E16" s="9" t="s">
        <v>145</v>
      </c>
      <c r="F16" s="9" t="s">
        <v>22</v>
      </c>
      <c r="G16" s="9" t="s">
        <v>22</v>
      </c>
      <c r="H16" s="9" t="s">
        <v>22</v>
      </c>
      <c r="I16" s="9" t="s">
        <v>27</v>
      </c>
      <c r="J16" s="9" t="s">
        <v>27</v>
      </c>
      <c r="K16" s="9" t="s">
        <v>22</v>
      </c>
      <c r="L16" s="9" t="s">
        <v>22</v>
      </c>
      <c r="M16" s="10">
        <v>2541</v>
      </c>
      <c r="N16" s="10">
        <v>3794</v>
      </c>
      <c r="O16" s="10">
        <v>3984</v>
      </c>
      <c r="P16" s="10">
        <v>8803</v>
      </c>
      <c r="Q16" s="10">
        <v>9338</v>
      </c>
      <c r="R16" s="11">
        <v>0.38456165928272101</v>
      </c>
    </row>
    <row r="17" spans="1:18" x14ac:dyDescent="0.3">
      <c r="A17" s="19" t="s">
        <v>227</v>
      </c>
      <c r="B17" s="9" t="s">
        <v>228</v>
      </c>
      <c r="C17" s="9" t="s">
        <v>229</v>
      </c>
      <c r="D17" s="9" t="s">
        <v>230</v>
      </c>
      <c r="E17" s="9" t="s">
        <v>206</v>
      </c>
      <c r="F17" s="9" t="s">
        <v>22</v>
      </c>
      <c r="G17" s="9" t="s">
        <v>22</v>
      </c>
      <c r="H17" s="9" t="s">
        <v>22</v>
      </c>
      <c r="I17" s="9" t="s">
        <v>27</v>
      </c>
      <c r="J17" s="9" t="s">
        <v>27</v>
      </c>
      <c r="K17" s="9" t="s">
        <v>22</v>
      </c>
      <c r="L17" s="9" t="s">
        <v>27</v>
      </c>
      <c r="M17" s="10">
        <v>1082</v>
      </c>
      <c r="N17" s="10">
        <v>3353</v>
      </c>
      <c r="O17" s="10">
        <v>6351</v>
      </c>
      <c r="P17" s="10">
        <v>8550</v>
      </c>
      <c r="Q17" s="10">
        <v>9272</v>
      </c>
      <c r="R17" s="11">
        <v>0.71094693671276599</v>
      </c>
    </row>
    <row r="18" spans="1:18" x14ac:dyDescent="0.3">
      <c r="A18" s="19" t="s">
        <v>72</v>
      </c>
      <c r="B18" s="9" t="s">
        <v>73</v>
      </c>
      <c r="C18" s="9" t="s">
        <v>74</v>
      </c>
      <c r="D18" s="9" t="s">
        <v>75</v>
      </c>
      <c r="E18" s="9" t="s">
        <v>21</v>
      </c>
      <c r="F18" s="9" t="s">
        <v>22</v>
      </c>
      <c r="G18" s="9" t="s">
        <v>22</v>
      </c>
      <c r="H18" s="9" t="s">
        <v>22</v>
      </c>
      <c r="I18" s="9" t="s">
        <v>22</v>
      </c>
      <c r="J18" s="9" t="s">
        <v>22</v>
      </c>
      <c r="K18" s="9" t="s">
        <v>22</v>
      </c>
      <c r="L18" s="9" t="s">
        <v>22</v>
      </c>
      <c r="M18" s="10">
        <v>861</v>
      </c>
      <c r="N18" s="10">
        <v>1314</v>
      </c>
      <c r="O18" s="10">
        <v>1810</v>
      </c>
      <c r="P18" s="10">
        <v>6510</v>
      </c>
      <c r="Q18" s="10">
        <v>9271</v>
      </c>
      <c r="R18" s="11">
        <v>0.81146879617010603</v>
      </c>
    </row>
    <row r="19" spans="1:18" x14ac:dyDescent="0.3">
      <c r="A19" s="19" t="s">
        <v>89</v>
      </c>
      <c r="B19" s="9" t="s">
        <v>90</v>
      </c>
      <c r="C19" s="9" t="s">
        <v>91</v>
      </c>
      <c r="D19" s="9" t="s">
        <v>92</v>
      </c>
      <c r="E19" s="9" t="s">
        <v>84</v>
      </c>
      <c r="F19" s="9" t="s">
        <v>22</v>
      </c>
      <c r="G19" s="9" t="s">
        <v>22</v>
      </c>
      <c r="H19" s="9" t="s">
        <v>27</v>
      </c>
      <c r="I19" s="9" t="s">
        <v>22</v>
      </c>
      <c r="J19" s="9" t="s">
        <v>27</v>
      </c>
      <c r="K19" s="9" t="s">
        <v>22</v>
      </c>
      <c r="L19" s="9" t="s">
        <v>27</v>
      </c>
      <c r="M19" s="10">
        <v>700</v>
      </c>
      <c r="N19" s="10">
        <v>5721</v>
      </c>
      <c r="O19" s="10">
        <v>6247</v>
      </c>
      <c r="P19" s="10">
        <v>8495</v>
      </c>
      <c r="Q19" s="10">
        <v>9236</v>
      </c>
      <c r="R19" s="11">
        <v>0.90588403033885301</v>
      </c>
    </row>
    <row r="20" spans="1:18" x14ac:dyDescent="0.3">
      <c r="A20" s="19" t="s">
        <v>80</v>
      </c>
      <c r="B20" s="9" t="s">
        <v>81</v>
      </c>
      <c r="C20" s="9" t="s">
        <v>82</v>
      </c>
      <c r="D20" s="9" t="s">
        <v>83</v>
      </c>
      <c r="E20" s="9" t="s">
        <v>84</v>
      </c>
      <c r="F20" s="9" t="s">
        <v>22</v>
      </c>
      <c r="G20" s="9" t="s">
        <v>22</v>
      </c>
      <c r="H20" s="9" t="s">
        <v>27</v>
      </c>
      <c r="I20" s="9" t="s">
        <v>27</v>
      </c>
      <c r="J20" s="9" t="s">
        <v>27</v>
      </c>
      <c r="K20" s="9" t="s">
        <v>27</v>
      </c>
      <c r="L20" s="9" t="s">
        <v>27</v>
      </c>
      <c r="M20" s="10">
        <v>3501</v>
      </c>
      <c r="N20" s="10">
        <v>7079</v>
      </c>
      <c r="O20" s="10">
        <v>7438</v>
      </c>
      <c r="P20" s="10">
        <v>7443</v>
      </c>
      <c r="Q20" s="10">
        <v>9225</v>
      </c>
      <c r="R20" s="11">
        <v>0.27407081068210998</v>
      </c>
    </row>
    <row r="21" spans="1:18" x14ac:dyDescent="0.3">
      <c r="A21" s="20" t="s">
        <v>174</v>
      </c>
      <c r="B21" s="13" t="s">
        <v>175</v>
      </c>
      <c r="C21" s="13" t="s">
        <v>176</v>
      </c>
      <c r="D21" s="13" t="s">
        <v>177</v>
      </c>
      <c r="E21" s="13" t="s">
        <v>145</v>
      </c>
      <c r="F21" s="13" t="s">
        <v>22</v>
      </c>
      <c r="G21" s="13" t="s">
        <v>22</v>
      </c>
      <c r="H21" s="13" t="s">
        <v>22</v>
      </c>
      <c r="I21" s="13" t="s">
        <v>22</v>
      </c>
      <c r="J21" s="13" t="s">
        <v>22</v>
      </c>
      <c r="K21" s="13" t="s">
        <v>22</v>
      </c>
      <c r="L21" s="13" t="s">
        <v>22</v>
      </c>
      <c r="M21" s="14">
        <v>488</v>
      </c>
      <c r="N21" s="14">
        <v>5535</v>
      </c>
      <c r="O21" s="14">
        <v>5775</v>
      </c>
      <c r="P21" s="14">
        <v>7661</v>
      </c>
      <c r="Q21" s="14">
        <v>9206</v>
      </c>
      <c r="R21" s="15">
        <v>1.0840723280170199</v>
      </c>
    </row>
    <row r="22" spans="1:18" x14ac:dyDescent="0.3">
      <c r="A22" s="20" t="s">
        <v>17</v>
      </c>
      <c r="B22" s="13" t="s">
        <v>18</v>
      </c>
      <c r="C22" s="13" t="s">
        <v>19</v>
      </c>
      <c r="D22" s="13" t="s">
        <v>20</v>
      </c>
      <c r="E22" s="13" t="s">
        <v>21</v>
      </c>
      <c r="F22" s="13" t="s">
        <v>22</v>
      </c>
      <c r="G22" s="13" t="s">
        <v>22</v>
      </c>
      <c r="H22" s="13" t="s">
        <v>22</v>
      </c>
      <c r="I22" s="13" t="s">
        <v>22</v>
      </c>
      <c r="J22" s="13" t="s">
        <v>22</v>
      </c>
      <c r="K22" s="13" t="s">
        <v>22</v>
      </c>
      <c r="L22" s="13" t="s">
        <v>22</v>
      </c>
      <c r="M22" s="14">
        <v>1982</v>
      </c>
      <c r="N22" s="14">
        <v>5388</v>
      </c>
      <c r="O22" s="14">
        <v>7063</v>
      </c>
      <c r="P22" s="14">
        <v>7208</v>
      </c>
      <c r="Q22" s="14">
        <v>9093</v>
      </c>
      <c r="R22" s="15">
        <v>0.463527492924111</v>
      </c>
    </row>
    <row r="23" spans="1:18" x14ac:dyDescent="0.3">
      <c r="A23" s="20" t="s">
        <v>207</v>
      </c>
      <c r="B23" s="13" t="s">
        <v>208</v>
      </c>
      <c r="C23" s="13" t="s">
        <v>209</v>
      </c>
      <c r="D23" s="13" t="s">
        <v>210</v>
      </c>
      <c r="E23" s="13" t="s">
        <v>206</v>
      </c>
      <c r="F23" s="13" t="s">
        <v>22</v>
      </c>
      <c r="G23" s="13" t="s">
        <v>22</v>
      </c>
      <c r="H23" s="13" t="s">
        <v>22</v>
      </c>
      <c r="I23" s="13" t="s">
        <v>27</v>
      </c>
      <c r="J23" s="13" t="s">
        <v>27</v>
      </c>
      <c r="K23" s="13" t="s">
        <v>22</v>
      </c>
      <c r="L23" s="13" t="s">
        <v>27</v>
      </c>
      <c r="M23" s="14">
        <v>299</v>
      </c>
      <c r="N23" s="14">
        <v>657</v>
      </c>
      <c r="O23" s="14">
        <v>6238</v>
      </c>
      <c r="P23" s="14">
        <v>8922</v>
      </c>
      <c r="Q23" s="14">
        <v>9081</v>
      </c>
      <c r="R23" s="15">
        <v>1.3475541667800699</v>
      </c>
    </row>
    <row r="24" spans="1:18" x14ac:dyDescent="0.3">
      <c r="A24" s="19" t="s">
        <v>194</v>
      </c>
      <c r="B24" s="9" t="s">
        <v>195</v>
      </c>
      <c r="C24" s="9" t="s">
        <v>196</v>
      </c>
      <c r="D24" s="9" t="s">
        <v>197</v>
      </c>
      <c r="E24" s="9" t="s">
        <v>145</v>
      </c>
      <c r="F24" s="9" t="s">
        <v>22</v>
      </c>
      <c r="G24" s="9" t="s">
        <v>22</v>
      </c>
      <c r="H24" s="9" t="s">
        <v>22</v>
      </c>
      <c r="I24" s="9" t="s">
        <v>22</v>
      </c>
      <c r="J24" s="9" t="s">
        <v>27</v>
      </c>
      <c r="K24" s="9" t="s">
        <v>27</v>
      </c>
      <c r="L24" s="9" t="s">
        <v>27</v>
      </c>
      <c r="M24" s="10">
        <v>1290</v>
      </c>
      <c r="N24" s="10">
        <v>4033</v>
      </c>
      <c r="O24" s="10">
        <v>6956</v>
      </c>
      <c r="P24" s="10">
        <v>7929</v>
      </c>
      <c r="Q24" s="10">
        <v>8834</v>
      </c>
      <c r="R24" s="11">
        <v>0.61767741115573205</v>
      </c>
    </row>
    <row r="25" spans="1:18" x14ac:dyDescent="0.3">
      <c r="A25" s="20" t="s">
        <v>141</v>
      </c>
      <c r="B25" s="13" t="s">
        <v>142</v>
      </c>
      <c r="C25" s="13" t="s">
        <v>143</v>
      </c>
      <c r="D25" s="13" t="s">
        <v>144</v>
      </c>
      <c r="E25" s="13" t="s">
        <v>145</v>
      </c>
      <c r="F25" s="13" t="s">
        <v>22</v>
      </c>
      <c r="G25" s="13" t="s">
        <v>22</v>
      </c>
      <c r="H25" s="13" t="s">
        <v>22</v>
      </c>
      <c r="I25" s="13" t="s">
        <v>27</v>
      </c>
      <c r="J25" s="13" t="s">
        <v>27</v>
      </c>
      <c r="K25" s="13" t="s">
        <v>22</v>
      </c>
      <c r="L25" s="13" t="s">
        <v>27</v>
      </c>
      <c r="M25" s="14">
        <v>2519</v>
      </c>
      <c r="N25" s="14">
        <v>3938</v>
      </c>
      <c r="O25" s="14">
        <v>5190</v>
      </c>
      <c r="P25" s="14">
        <v>8203</v>
      </c>
      <c r="Q25" s="14">
        <v>8780</v>
      </c>
      <c r="R25" s="15">
        <v>0.36636455401735002</v>
      </c>
    </row>
    <row r="26" spans="1:18" x14ac:dyDescent="0.3">
      <c r="A26" s="19" t="s">
        <v>40</v>
      </c>
      <c r="B26" s="9" t="s">
        <v>41</v>
      </c>
      <c r="C26" s="9" t="s">
        <v>42</v>
      </c>
      <c r="D26" s="9" t="s">
        <v>43</v>
      </c>
      <c r="E26" s="9" t="s">
        <v>21</v>
      </c>
      <c r="F26" s="9" t="s">
        <v>22</v>
      </c>
      <c r="G26" s="9" t="s">
        <v>22</v>
      </c>
      <c r="H26" s="9" t="s">
        <v>22</v>
      </c>
      <c r="I26" s="9" t="s">
        <v>27</v>
      </c>
      <c r="J26" s="9" t="s">
        <v>22</v>
      </c>
      <c r="K26" s="9" t="s">
        <v>22</v>
      </c>
      <c r="L26" s="9" t="s">
        <v>27</v>
      </c>
      <c r="M26" s="10">
        <v>2341</v>
      </c>
      <c r="N26" s="10">
        <v>6105</v>
      </c>
      <c r="O26" s="10">
        <v>7777</v>
      </c>
      <c r="P26" s="10">
        <v>7891</v>
      </c>
      <c r="Q26" s="10">
        <v>8758</v>
      </c>
      <c r="R26" s="11">
        <v>0.390755806385503</v>
      </c>
    </row>
    <row r="27" spans="1:18" x14ac:dyDescent="0.3">
      <c r="A27" s="19" t="s">
        <v>146</v>
      </c>
      <c r="B27" s="9" t="s">
        <v>147</v>
      </c>
      <c r="C27" s="9" t="s">
        <v>148</v>
      </c>
      <c r="D27" s="9" t="s">
        <v>149</v>
      </c>
      <c r="E27" s="9" t="s">
        <v>145</v>
      </c>
      <c r="F27" s="9" t="s">
        <v>22</v>
      </c>
      <c r="G27" s="9" t="s">
        <v>22</v>
      </c>
      <c r="H27" s="9" t="s">
        <v>22</v>
      </c>
      <c r="I27" s="9" t="s">
        <v>22</v>
      </c>
      <c r="J27" s="9" t="s">
        <v>22</v>
      </c>
      <c r="K27" s="9" t="s">
        <v>22</v>
      </c>
      <c r="L27" s="9" t="s">
        <v>27</v>
      </c>
      <c r="M27" s="10">
        <v>138</v>
      </c>
      <c r="N27" s="10">
        <v>286</v>
      </c>
      <c r="O27" s="10">
        <v>6750</v>
      </c>
      <c r="P27" s="10">
        <v>8254</v>
      </c>
      <c r="Q27" s="10">
        <v>8656</v>
      </c>
      <c r="R27" s="11">
        <v>1.81422968886976</v>
      </c>
    </row>
    <row r="28" spans="1:18" x14ac:dyDescent="0.3">
      <c r="A28" s="20" t="s">
        <v>133</v>
      </c>
      <c r="B28" s="13" t="s">
        <v>134</v>
      </c>
      <c r="C28" s="13" t="s">
        <v>135</v>
      </c>
      <c r="D28" s="13" t="s">
        <v>136</v>
      </c>
      <c r="E28" s="13" t="s">
        <v>84</v>
      </c>
      <c r="F28" s="13" t="s">
        <v>22</v>
      </c>
      <c r="G28" s="13" t="s">
        <v>22</v>
      </c>
      <c r="H28" s="13" t="s">
        <v>27</v>
      </c>
      <c r="I28" s="13" t="s">
        <v>22</v>
      </c>
      <c r="J28" s="13" t="s">
        <v>27</v>
      </c>
      <c r="K28" s="13" t="s">
        <v>22</v>
      </c>
      <c r="L28" s="13" t="s">
        <v>27</v>
      </c>
      <c r="M28" s="14">
        <v>712</v>
      </c>
      <c r="N28" s="14">
        <v>4182</v>
      </c>
      <c r="O28" s="14">
        <v>6087</v>
      </c>
      <c r="P28" s="14">
        <v>7494</v>
      </c>
      <c r="Q28" s="14">
        <v>8599</v>
      </c>
      <c r="R28" s="15">
        <v>0.86419779018759801</v>
      </c>
    </row>
    <row r="29" spans="1:18" x14ac:dyDescent="0.3">
      <c r="A29" s="20" t="s">
        <v>68</v>
      </c>
      <c r="B29" s="13" t="s">
        <v>69</v>
      </c>
      <c r="C29" s="13" t="s">
        <v>70</v>
      </c>
      <c r="D29" s="13" t="s">
        <v>71</v>
      </c>
      <c r="E29" s="13" t="s">
        <v>21</v>
      </c>
      <c r="F29" s="13" t="s">
        <v>22</v>
      </c>
      <c r="G29" s="13" t="s">
        <v>27</v>
      </c>
      <c r="H29" s="13" t="s">
        <v>22</v>
      </c>
      <c r="I29" s="13" t="s">
        <v>22</v>
      </c>
      <c r="J29" s="13" t="s">
        <v>22</v>
      </c>
      <c r="K29" s="13" t="s">
        <v>22</v>
      </c>
      <c r="L29" s="13" t="s">
        <v>22</v>
      </c>
      <c r="M29" s="14">
        <v>24</v>
      </c>
      <c r="N29" s="14">
        <v>1797</v>
      </c>
      <c r="O29" s="14">
        <v>3548</v>
      </c>
      <c r="P29" s="14">
        <v>3668</v>
      </c>
      <c r="Q29" s="14">
        <v>8592</v>
      </c>
      <c r="R29" s="15">
        <v>3.3498147004699499</v>
      </c>
    </row>
    <row r="30" spans="1:18" x14ac:dyDescent="0.3">
      <c r="A30" s="20" t="s">
        <v>125</v>
      </c>
      <c r="B30" s="13" t="s">
        <v>126</v>
      </c>
      <c r="C30" s="13" t="s">
        <v>127</v>
      </c>
      <c r="D30" s="13" t="s">
        <v>128</v>
      </c>
      <c r="E30" s="13" t="s">
        <v>84</v>
      </c>
      <c r="F30" s="13" t="s">
        <v>22</v>
      </c>
      <c r="G30" s="13" t="s">
        <v>22</v>
      </c>
      <c r="H30" s="13" t="s">
        <v>27</v>
      </c>
      <c r="I30" s="13" t="s">
        <v>22</v>
      </c>
      <c r="J30" s="13" t="s">
        <v>22</v>
      </c>
      <c r="K30" s="13" t="s">
        <v>22</v>
      </c>
      <c r="L30" s="13" t="s">
        <v>27</v>
      </c>
      <c r="M30" s="14">
        <v>209</v>
      </c>
      <c r="N30" s="14">
        <v>621</v>
      </c>
      <c r="O30" s="14">
        <v>3098</v>
      </c>
      <c r="P30" s="14">
        <v>7118</v>
      </c>
      <c r="Q30" s="14">
        <v>8433</v>
      </c>
      <c r="R30" s="15">
        <v>1.52033896375026</v>
      </c>
    </row>
    <row r="31" spans="1:18" x14ac:dyDescent="0.3">
      <c r="A31" s="20" t="s">
        <v>198</v>
      </c>
      <c r="B31" s="13" t="s">
        <v>199</v>
      </c>
      <c r="C31" s="13" t="s">
        <v>200</v>
      </c>
      <c r="D31" s="13" t="s">
        <v>201</v>
      </c>
      <c r="E31" s="13" t="s">
        <v>145</v>
      </c>
      <c r="F31" s="13" t="s">
        <v>22</v>
      </c>
      <c r="G31" s="13" t="s">
        <v>22</v>
      </c>
      <c r="H31" s="13" t="s">
        <v>22</v>
      </c>
      <c r="I31" s="13" t="s">
        <v>22</v>
      </c>
      <c r="J31" s="13" t="s">
        <v>22</v>
      </c>
      <c r="K31" s="13" t="s">
        <v>27</v>
      </c>
      <c r="L31" s="13" t="s">
        <v>27</v>
      </c>
      <c r="M31" s="14">
        <v>431</v>
      </c>
      <c r="N31" s="14">
        <v>6231</v>
      </c>
      <c r="O31" s="14">
        <v>7478</v>
      </c>
      <c r="P31" s="14">
        <v>8039</v>
      </c>
      <c r="Q31" s="14">
        <v>8271</v>
      </c>
      <c r="R31" s="15">
        <v>1.0930046233022499</v>
      </c>
    </row>
    <row r="32" spans="1:18" x14ac:dyDescent="0.3">
      <c r="A32" s="20" t="s">
        <v>101</v>
      </c>
      <c r="B32" s="13" t="s">
        <v>102</v>
      </c>
      <c r="C32" s="13" t="s">
        <v>103</v>
      </c>
      <c r="D32" s="13" t="s">
        <v>104</v>
      </c>
      <c r="E32" s="13" t="s">
        <v>84</v>
      </c>
      <c r="F32" s="13" t="s">
        <v>22</v>
      </c>
      <c r="G32" s="13" t="s">
        <v>22</v>
      </c>
      <c r="H32" s="13" t="s">
        <v>27</v>
      </c>
      <c r="I32" s="13" t="s">
        <v>22</v>
      </c>
      <c r="J32" s="13" t="s">
        <v>27</v>
      </c>
      <c r="K32" s="13" t="s">
        <v>22</v>
      </c>
      <c r="L32" s="13" t="s">
        <v>27</v>
      </c>
      <c r="M32" s="14">
        <v>238</v>
      </c>
      <c r="N32" s="14">
        <v>1235</v>
      </c>
      <c r="O32" s="14">
        <v>1822</v>
      </c>
      <c r="P32" s="14">
        <v>7074</v>
      </c>
      <c r="Q32" s="14">
        <v>8207</v>
      </c>
      <c r="R32" s="15">
        <v>1.4232703532020701</v>
      </c>
    </row>
    <row r="33" spans="1:18" x14ac:dyDescent="0.3">
      <c r="A33" s="19" t="s">
        <v>211</v>
      </c>
      <c r="B33" s="9" t="s">
        <v>212</v>
      </c>
      <c r="C33" s="9" t="s">
        <v>213</v>
      </c>
      <c r="D33" s="9" t="s">
        <v>214</v>
      </c>
      <c r="E33" s="9" t="s">
        <v>206</v>
      </c>
      <c r="F33" s="9" t="s">
        <v>22</v>
      </c>
      <c r="G33" s="9" t="s">
        <v>22</v>
      </c>
      <c r="H33" s="9" t="s">
        <v>22</v>
      </c>
      <c r="I33" s="9" t="s">
        <v>27</v>
      </c>
      <c r="J33" s="9" t="s">
        <v>27</v>
      </c>
      <c r="K33" s="9" t="s">
        <v>22</v>
      </c>
      <c r="L33" s="9" t="s">
        <v>27</v>
      </c>
      <c r="M33" s="10">
        <v>1323</v>
      </c>
      <c r="N33" s="10">
        <v>4963</v>
      </c>
      <c r="O33" s="10">
        <v>6292</v>
      </c>
      <c r="P33" s="10">
        <v>6728</v>
      </c>
      <c r="Q33" s="10">
        <v>8202</v>
      </c>
      <c r="R33" s="11">
        <v>0.57793816418173205</v>
      </c>
    </row>
    <row r="34" spans="1:18" x14ac:dyDescent="0.3">
      <c r="A34" s="19" t="s">
        <v>97</v>
      </c>
      <c r="B34" s="9" t="s">
        <v>98</v>
      </c>
      <c r="C34" s="9" t="s">
        <v>99</v>
      </c>
      <c r="D34" s="9" t="s">
        <v>100</v>
      </c>
      <c r="E34" s="9" t="s">
        <v>84</v>
      </c>
      <c r="F34" s="9" t="s">
        <v>22</v>
      </c>
      <c r="G34" s="9" t="s">
        <v>22</v>
      </c>
      <c r="H34" s="9" t="s">
        <v>27</v>
      </c>
      <c r="I34" s="9" t="s">
        <v>22</v>
      </c>
      <c r="J34" s="9" t="s">
        <v>27</v>
      </c>
      <c r="K34" s="9" t="s">
        <v>22</v>
      </c>
      <c r="L34" s="9" t="s">
        <v>27</v>
      </c>
      <c r="M34" s="10">
        <v>73</v>
      </c>
      <c r="N34" s="10">
        <v>3485</v>
      </c>
      <c r="O34" s="10">
        <v>4592</v>
      </c>
      <c r="P34" s="10">
        <v>5143</v>
      </c>
      <c r="Q34" s="10">
        <v>8100</v>
      </c>
      <c r="R34" s="11">
        <v>2.2455667067018901</v>
      </c>
    </row>
    <row r="35" spans="1:18" x14ac:dyDescent="0.3">
      <c r="A35" s="19" t="s">
        <v>259</v>
      </c>
      <c r="B35" s="9" t="s">
        <v>260</v>
      </c>
      <c r="C35" s="9" t="s">
        <v>261</v>
      </c>
      <c r="D35" s="9" t="s">
        <v>262</v>
      </c>
      <c r="E35" s="9" t="s">
        <v>206</v>
      </c>
      <c r="F35" s="9" t="s">
        <v>22</v>
      </c>
      <c r="G35" s="9" t="s">
        <v>22</v>
      </c>
      <c r="H35" s="9" t="s">
        <v>22</v>
      </c>
      <c r="I35" s="9" t="s">
        <v>27</v>
      </c>
      <c r="J35" s="9" t="s">
        <v>27</v>
      </c>
      <c r="K35" s="9" t="s">
        <v>27</v>
      </c>
      <c r="L35" s="9" t="s">
        <v>27</v>
      </c>
      <c r="M35" s="10">
        <v>1014</v>
      </c>
      <c r="N35" s="10">
        <v>2254</v>
      </c>
      <c r="O35" s="10">
        <v>4534</v>
      </c>
      <c r="P35" s="10">
        <v>6796</v>
      </c>
      <c r="Q35" s="10">
        <v>7730</v>
      </c>
      <c r="R35" s="11">
        <v>0.66163405613342696</v>
      </c>
    </row>
    <row r="36" spans="1:18" x14ac:dyDescent="0.3">
      <c r="A36" s="20" t="s">
        <v>85</v>
      </c>
      <c r="B36" s="13" t="s">
        <v>86</v>
      </c>
      <c r="C36" s="13" t="s">
        <v>87</v>
      </c>
      <c r="D36" s="13" t="s">
        <v>88</v>
      </c>
      <c r="E36" s="13" t="s">
        <v>84</v>
      </c>
      <c r="F36" s="13" t="s">
        <v>22</v>
      </c>
      <c r="G36" s="13" t="s">
        <v>22</v>
      </c>
      <c r="H36" s="13" t="s">
        <v>27</v>
      </c>
      <c r="I36" s="13" t="s">
        <v>27</v>
      </c>
      <c r="J36" s="13" t="s">
        <v>27</v>
      </c>
      <c r="K36" s="13" t="s">
        <v>27</v>
      </c>
      <c r="L36" s="13" t="s">
        <v>27</v>
      </c>
      <c r="M36" s="14">
        <v>3916</v>
      </c>
      <c r="N36" s="14">
        <v>4218</v>
      </c>
      <c r="O36" s="14">
        <v>5072</v>
      </c>
      <c r="P36" s="14">
        <v>5201</v>
      </c>
      <c r="Q36" s="14">
        <v>7588</v>
      </c>
      <c r="R36" s="15">
        <v>0.179834685761873</v>
      </c>
    </row>
    <row r="37" spans="1:18" x14ac:dyDescent="0.3">
      <c r="A37" s="19" t="s">
        <v>178</v>
      </c>
      <c r="B37" s="9" t="s">
        <v>179</v>
      </c>
      <c r="C37" s="9" t="s">
        <v>180</v>
      </c>
      <c r="D37" s="9" t="s">
        <v>181</v>
      </c>
      <c r="E37" s="9" t="s">
        <v>145</v>
      </c>
      <c r="F37" s="9" t="s">
        <v>22</v>
      </c>
      <c r="G37" s="9" t="s">
        <v>22</v>
      </c>
      <c r="H37" s="9" t="s">
        <v>22</v>
      </c>
      <c r="I37" s="9" t="s">
        <v>22</v>
      </c>
      <c r="J37" s="9" t="s">
        <v>22</v>
      </c>
      <c r="K37" s="9" t="s">
        <v>22</v>
      </c>
      <c r="L37" s="9" t="s">
        <v>22</v>
      </c>
      <c r="M37" s="10">
        <v>376</v>
      </c>
      <c r="N37" s="10">
        <v>889</v>
      </c>
      <c r="O37" s="10">
        <v>4373</v>
      </c>
      <c r="P37" s="10">
        <v>6803</v>
      </c>
      <c r="Q37" s="10">
        <v>7578</v>
      </c>
      <c r="R37" s="11">
        <v>1.1188084145320101</v>
      </c>
    </row>
    <row r="38" spans="1:18" x14ac:dyDescent="0.3">
      <c r="A38" s="19" t="s">
        <v>23</v>
      </c>
      <c r="B38" s="9" t="s">
        <v>24</v>
      </c>
      <c r="C38" s="9" t="s">
        <v>25</v>
      </c>
      <c r="D38" s="9" t="s">
        <v>26</v>
      </c>
      <c r="E38" s="9" t="s">
        <v>21</v>
      </c>
      <c r="F38" s="9" t="s">
        <v>22</v>
      </c>
      <c r="G38" s="9" t="s">
        <v>22</v>
      </c>
      <c r="H38" s="9" t="s">
        <v>22</v>
      </c>
      <c r="I38" s="9" t="s">
        <v>27</v>
      </c>
      <c r="J38" s="9" t="s">
        <v>22</v>
      </c>
      <c r="K38" s="9" t="s">
        <v>22</v>
      </c>
      <c r="L38" s="9" t="s">
        <v>22</v>
      </c>
      <c r="M38" s="10">
        <v>2786</v>
      </c>
      <c r="N38" s="10">
        <v>3804</v>
      </c>
      <c r="O38" s="10">
        <v>4121</v>
      </c>
      <c r="P38" s="10">
        <v>6210</v>
      </c>
      <c r="Q38" s="10">
        <v>6909</v>
      </c>
      <c r="R38" s="11">
        <v>0.25489826874508897</v>
      </c>
    </row>
    <row r="39" spans="1:18" x14ac:dyDescent="0.3">
      <c r="A39" s="20" t="s">
        <v>150</v>
      </c>
      <c r="B39" s="13" t="s">
        <v>151</v>
      </c>
      <c r="C39" s="13" t="s">
        <v>152</v>
      </c>
      <c r="D39" s="13" t="s">
        <v>153</v>
      </c>
      <c r="E39" s="13" t="s">
        <v>145</v>
      </c>
      <c r="F39" s="13" t="s">
        <v>22</v>
      </c>
      <c r="G39" s="13" t="s">
        <v>22</v>
      </c>
      <c r="H39" s="13" t="s">
        <v>22</v>
      </c>
      <c r="I39" s="13" t="s">
        <v>27</v>
      </c>
      <c r="J39" s="13" t="s">
        <v>27</v>
      </c>
      <c r="K39" s="13" t="s">
        <v>22</v>
      </c>
      <c r="L39" s="13" t="s">
        <v>22</v>
      </c>
      <c r="M39" s="14">
        <v>8873</v>
      </c>
      <c r="N39" s="14">
        <v>8484</v>
      </c>
      <c r="O39" s="14">
        <v>7883</v>
      </c>
      <c r="P39" s="14">
        <v>7499</v>
      </c>
      <c r="Q39" s="14">
        <v>6592</v>
      </c>
      <c r="R39" s="15">
        <v>-7.1596691853915498E-2</v>
      </c>
    </row>
    <row r="40" spans="1:18" x14ac:dyDescent="0.3">
      <c r="A40" s="20" t="s">
        <v>255</v>
      </c>
      <c r="B40" s="13" t="s">
        <v>256</v>
      </c>
      <c r="C40" s="13" t="s">
        <v>257</v>
      </c>
      <c r="D40" s="13" t="s">
        <v>258</v>
      </c>
      <c r="E40" s="13" t="s">
        <v>206</v>
      </c>
      <c r="F40" s="13" t="s">
        <v>22</v>
      </c>
      <c r="G40" s="13" t="s">
        <v>22</v>
      </c>
      <c r="H40" s="13" t="s">
        <v>22</v>
      </c>
      <c r="I40" s="13" t="s">
        <v>27</v>
      </c>
      <c r="J40" s="13" t="s">
        <v>27</v>
      </c>
      <c r="K40" s="13" t="s">
        <v>27</v>
      </c>
      <c r="L40" s="13" t="s">
        <v>27</v>
      </c>
      <c r="M40" s="14">
        <v>1032</v>
      </c>
      <c r="N40" s="14">
        <v>3919</v>
      </c>
      <c r="O40" s="14">
        <v>4466</v>
      </c>
      <c r="P40" s="14">
        <v>5568</v>
      </c>
      <c r="Q40" s="14">
        <v>6476</v>
      </c>
      <c r="R40" s="15">
        <v>0.58272982283102703</v>
      </c>
    </row>
    <row r="41" spans="1:18" x14ac:dyDescent="0.3">
      <c r="A41" s="19" t="s">
        <v>243</v>
      </c>
      <c r="B41" s="9" t="s">
        <v>244</v>
      </c>
      <c r="C41" s="9" t="s">
        <v>245</v>
      </c>
      <c r="D41" s="9" t="s">
        <v>246</v>
      </c>
      <c r="E41" s="9" t="s">
        <v>206</v>
      </c>
      <c r="F41" s="9" t="s">
        <v>22</v>
      </c>
      <c r="G41" s="9" t="s">
        <v>22</v>
      </c>
      <c r="H41" s="9" t="s">
        <v>22</v>
      </c>
      <c r="I41" s="9" t="s">
        <v>27</v>
      </c>
      <c r="J41" s="9" t="s">
        <v>27</v>
      </c>
      <c r="K41" s="9" t="s">
        <v>22</v>
      </c>
      <c r="L41" s="9" t="s">
        <v>27</v>
      </c>
      <c r="M41" s="10">
        <v>128</v>
      </c>
      <c r="N41" s="10">
        <v>416</v>
      </c>
      <c r="O41" s="10">
        <v>747</v>
      </c>
      <c r="P41" s="10">
        <v>1028</v>
      </c>
      <c r="Q41" s="10">
        <v>6357</v>
      </c>
      <c r="R41" s="11">
        <v>1.65467011301121</v>
      </c>
    </row>
    <row r="42" spans="1:18" x14ac:dyDescent="0.3">
      <c r="A42" s="19" t="s">
        <v>56</v>
      </c>
      <c r="B42" s="9" t="s">
        <v>57</v>
      </c>
      <c r="C42" s="9" t="s">
        <v>58</v>
      </c>
      <c r="D42" s="9" t="s">
        <v>59</v>
      </c>
      <c r="E42" s="9" t="s">
        <v>21</v>
      </c>
      <c r="F42" s="9" t="s">
        <v>22</v>
      </c>
      <c r="G42" s="9" t="s">
        <v>22</v>
      </c>
      <c r="H42" s="9" t="s">
        <v>27</v>
      </c>
      <c r="I42" s="9" t="s">
        <v>22</v>
      </c>
      <c r="J42" s="9" t="s">
        <v>27</v>
      </c>
      <c r="K42" s="9" t="s">
        <v>22</v>
      </c>
      <c r="L42" s="9" t="s">
        <v>27</v>
      </c>
      <c r="M42" s="10">
        <v>1530</v>
      </c>
      <c r="N42" s="10">
        <v>1620</v>
      </c>
      <c r="O42" s="10">
        <v>2027</v>
      </c>
      <c r="P42" s="10">
        <v>4881</v>
      </c>
      <c r="Q42" s="10">
        <v>6002</v>
      </c>
      <c r="R42" s="11">
        <v>0.407346832744091</v>
      </c>
    </row>
    <row r="43" spans="1:18" x14ac:dyDescent="0.3">
      <c r="A43" s="20" t="s">
        <v>36</v>
      </c>
      <c r="B43" s="13" t="s">
        <v>37</v>
      </c>
      <c r="C43" s="13" t="s">
        <v>38</v>
      </c>
      <c r="D43" s="13" t="s">
        <v>39</v>
      </c>
      <c r="E43" s="13" t="s">
        <v>21</v>
      </c>
      <c r="F43" s="13" t="s">
        <v>22</v>
      </c>
      <c r="G43" s="13" t="s">
        <v>22</v>
      </c>
      <c r="H43" s="13" t="s">
        <v>27</v>
      </c>
      <c r="I43" s="13" t="s">
        <v>22</v>
      </c>
      <c r="J43" s="13" t="s">
        <v>22</v>
      </c>
      <c r="K43" s="13" t="s">
        <v>22</v>
      </c>
      <c r="L43" s="13" t="s">
        <v>22</v>
      </c>
      <c r="M43" s="14">
        <v>1421</v>
      </c>
      <c r="N43" s="14">
        <v>1893</v>
      </c>
      <c r="O43" s="14">
        <v>2722</v>
      </c>
      <c r="P43" s="14">
        <v>4410</v>
      </c>
      <c r="Q43" s="14">
        <v>5873</v>
      </c>
      <c r="R43" s="15">
        <v>0.42582583880267399</v>
      </c>
    </row>
    <row r="44" spans="1:18" x14ac:dyDescent="0.3">
      <c r="A44" s="19" t="s">
        <v>64</v>
      </c>
      <c r="B44" s="9" t="s">
        <v>65</v>
      </c>
      <c r="C44" s="9" t="s">
        <v>66</v>
      </c>
      <c r="D44" s="9" t="s">
        <v>67</v>
      </c>
      <c r="E44" s="9" t="s">
        <v>21</v>
      </c>
      <c r="F44" s="9" t="s">
        <v>22</v>
      </c>
      <c r="G44" s="9" t="s">
        <v>27</v>
      </c>
      <c r="H44" s="9" t="s">
        <v>27</v>
      </c>
      <c r="I44" s="9" t="s">
        <v>27</v>
      </c>
      <c r="J44" s="9" t="s">
        <v>27</v>
      </c>
      <c r="K44" s="9" t="s">
        <v>27</v>
      </c>
      <c r="L44" s="9" t="s">
        <v>27</v>
      </c>
      <c r="M44" s="10">
        <v>1532</v>
      </c>
      <c r="N44" s="10">
        <v>2678</v>
      </c>
      <c r="O44" s="10">
        <v>4068</v>
      </c>
      <c r="P44" s="10">
        <v>4278</v>
      </c>
      <c r="Q44" s="10">
        <v>5382</v>
      </c>
      <c r="R44" s="11">
        <v>0.36905606024702098</v>
      </c>
    </row>
    <row r="45" spans="1:18" x14ac:dyDescent="0.3">
      <c r="A45" s="20" t="s">
        <v>239</v>
      </c>
      <c r="B45" s="13" t="s">
        <v>240</v>
      </c>
      <c r="C45" s="13" t="s">
        <v>241</v>
      </c>
      <c r="D45" s="13" t="s">
        <v>242</v>
      </c>
      <c r="E45" s="13" t="s">
        <v>206</v>
      </c>
      <c r="F45" s="13" t="s">
        <v>22</v>
      </c>
      <c r="G45" s="13" t="s">
        <v>27</v>
      </c>
      <c r="H45" s="13" t="s">
        <v>27</v>
      </c>
      <c r="I45" s="13" t="s">
        <v>27</v>
      </c>
      <c r="J45" s="13" t="s">
        <v>27</v>
      </c>
      <c r="K45" s="13" t="s">
        <v>22</v>
      </c>
      <c r="L45" s="13" t="s">
        <v>27</v>
      </c>
      <c r="M45" s="14">
        <v>576</v>
      </c>
      <c r="N45" s="14">
        <v>2628</v>
      </c>
      <c r="O45" s="14">
        <v>3612</v>
      </c>
      <c r="P45" s="14">
        <v>5066</v>
      </c>
      <c r="Q45" s="14">
        <v>5156</v>
      </c>
      <c r="R45" s="15">
        <v>0.72970725225475896</v>
      </c>
    </row>
    <row r="46" spans="1:18" x14ac:dyDescent="0.3">
      <c r="A46" s="20" t="s">
        <v>231</v>
      </c>
      <c r="B46" s="13" t="s">
        <v>232</v>
      </c>
      <c r="C46" s="13" t="s">
        <v>233</v>
      </c>
      <c r="D46" s="13" t="s">
        <v>234</v>
      </c>
      <c r="E46" s="13" t="s">
        <v>206</v>
      </c>
      <c r="F46" s="13" t="s">
        <v>22</v>
      </c>
      <c r="G46" s="13" t="s">
        <v>22</v>
      </c>
      <c r="H46" s="13" t="s">
        <v>27</v>
      </c>
      <c r="I46" s="13" t="s">
        <v>27</v>
      </c>
      <c r="J46" s="13" t="s">
        <v>27</v>
      </c>
      <c r="K46" s="13" t="s">
        <v>22</v>
      </c>
      <c r="L46" s="13" t="s">
        <v>27</v>
      </c>
      <c r="M46" s="14">
        <v>9791</v>
      </c>
      <c r="N46" s="14">
        <v>9610</v>
      </c>
      <c r="O46" s="14">
        <v>7534</v>
      </c>
      <c r="P46" s="14">
        <v>5080</v>
      </c>
      <c r="Q46" s="14">
        <v>4936</v>
      </c>
      <c r="R46" s="15">
        <v>-0.15736979056747399</v>
      </c>
    </row>
    <row r="47" spans="1:18" x14ac:dyDescent="0.3">
      <c r="A47" s="19" t="s">
        <v>137</v>
      </c>
      <c r="B47" s="9" t="s">
        <v>138</v>
      </c>
      <c r="C47" s="9" t="s">
        <v>139</v>
      </c>
      <c r="D47" s="9" t="s">
        <v>140</v>
      </c>
      <c r="E47" s="9" t="s">
        <v>84</v>
      </c>
      <c r="F47" s="9" t="s">
        <v>22</v>
      </c>
      <c r="G47" s="9" t="s">
        <v>22</v>
      </c>
      <c r="H47" s="9" t="s">
        <v>27</v>
      </c>
      <c r="I47" s="9" t="s">
        <v>27</v>
      </c>
      <c r="J47" s="9" t="s">
        <v>27</v>
      </c>
      <c r="K47" s="9" t="s">
        <v>27</v>
      </c>
      <c r="L47" s="9" t="s">
        <v>27</v>
      </c>
      <c r="M47" s="10">
        <v>2390</v>
      </c>
      <c r="N47" s="10">
        <v>2415</v>
      </c>
      <c r="O47" s="10">
        <v>3461</v>
      </c>
      <c r="P47" s="10">
        <v>3850</v>
      </c>
      <c r="Q47" s="10">
        <v>4657</v>
      </c>
      <c r="R47" s="11">
        <v>0.18148193130433601</v>
      </c>
    </row>
    <row r="48" spans="1:18" x14ac:dyDescent="0.3">
      <c r="A48" s="20" t="s">
        <v>190</v>
      </c>
      <c r="B48" s="13" t="s">
        <v>191</v>
      </c>
      <c r="C48" s="13" t="s">
        <v>192</v>
      </c>
      <c r="D48" s="13" t="s">
        <v>193</v>
      </c>
      <c r="E48" s="13" t="s">
        <v>145</v>
      </c>
      <c r="F48" s="13" t="s">
        <v>22</v>
      </c>
      <c r="G48" s="13" t="s">
        <v>22</v>
      </c>
      <c r="H48" s="13" t="s">
        <v>27</v>
      </c>
      <c r="I48" s="13" t="s">
        <v>27</v>
      </c>
      <c r="J48" s="13" t="s">
        <v>27</v>
      </c>
      <c r="K48" s="13" t="s">
        <v>27</v>
      </c>
      <c r="L48" s="13" t="s">
        <v>27</v>
      </c>
      <c r="M48" s="14">
        <v>8891</v>
      </c>
      <c r="N48" s="14">
        <v>5952</v>
      </c>
      <c r="O48" s="14">
        <v>5914</v>
      </c>
      <c r="P48" s="14">
        <v>5405</v>
      </c>
      <c r="Q48" s="14">
        <v>4031</v>
      </c>
      <c r="R48" s="15">
        <v>-0.179430166569959</v>
      </c>
    </row>
    <row r="49" spans="1:18" x14ac:dyDescent="0.3">
      <c r="A49" s="19" t="s">
        <v>129</v>
      </c>
      <c r="B49" s="9" t="s">
        <v>130</v>
      </c>
      <c r="C49" s="9" t="s">
        <v>131</v>
      </c>
      <c r="D49" s="9" t="s">
        <v>132</v>
      </c>
      <c r="E49" s="9" t="s">
        <v>84</v>
      </c>
      <c r="F49" s="9" t="s">
        <v>22</v>
      </c>
      <c r="G49" s="9" t="s">
        <v>22</v>
      </c>
      <c r="H49" s="9" t="s">
        <v>27</v>
      </c>
      <c r="I49" s="9" t="s">
        <v>27</v>
      </c>
      <c r="J49" s="9" t="s">
        <v>27</v>
      </c>
      <c r="K49" s="9" t="s">
        <v>27</v>
      </c>
      <c r="L49" s="9" t="s">
        <v>27</v>
      </c>
      <c r="M49" s="10">
        <v>6309</v>
      </c>
      <c r="N49" s="10">
        <v>6227</v>
      </c>
      <c r="O49" s="10">
        <v>5123</v>
      </c>
      <c r="P49" s="10">
        <v>4968</v>
      </c>
      <c r="Q49" s="10">
        <v>3857</v>
      </c>
      <c r="R49" s="11">
        <v>-0.115755681857539</v>
      </c>
    </row>
    <row r="50" spans="1:18" x14ac:dyDescent="0.3">
      <c r="A50" s="20" t="s">
        <v>93</v>
      </c>
      <c r="B50" s="13" t="s">
        <v>94</v>
      </c>
      <c r="C50" s="13" t="s">
        <v>95</v>
      </c>
      <c r="D50" s="13" t="s">
        <v>96</v>
      </c>
      <c r="E50" s="13" t="s">
        <v>84</v>
      </c>
      <c r="F50" s="13" t="s">
        <v>22</v>
      </c>
      <c r="G50" s="13" t="s">
        <v>22</v>
      </c>
      <c r="H50" s="13" t="s">
        <v>27</v>
      </c>
      <c r="I50" s="13" t="s">
        <v>27</v>
      </c>
      <c r="J50" s="13" t="s">
        <v>27</v>
      </c>
      <c r="K50" s="13" t="s">
        <v>27</v>
      </c>
      <c r="L50" s="13" t="s">
        <v>27</v>
      </c>
      <c r="M50" s="14">
        <v>9773</v>
      </c>
      <c r="N50" s="14">
        <v>9179</v>
      </c>
      <c r="O50" s="14">
        <v>8390</v>
      </c>
      <c r="P50" s="14">
        <v>8256</v>
      </c>
      <c r="Q50" s="14">
        <v>3815</v>
      </c>
      <c r="R50" s="15">
        <v>-0.20956409258224701</v>
      </c>
    </row>
    <row r="51" spans="1:18" x14ac:dyDescent="0.3">
      <c r="A51" s="20" t="s">
        <v>247</v>
      </c>
      <c r="B51" s="13" t="s">
        <v>248</v>
      </c>
      <c r="C51" s="13" t="s">
        <v>249</v>
      </c>
      <c r="D51" s="13" t="s">
        <v>250</v>
      </c>
      <c r="E51" s="13" t="s">
        <v>206</v>
      </c>
      <c r="F51" s="13" t="s">
        <v>22</v>
      </c>
      <c r="G51" s="13" t="s">
        <v>27</v>
      </c>
      <c r="H51" s="13" t="s">
        <v>27</v>
      </c>
      <c r="I51" s="13" t="s">
        <v>27</v>
      </c>
      <c r="J51" s="13" t="s">
        <v>27</v>
      </c>
      <c r="K51" s="13" t="s">
        <v>27</v>
      </c>
      <c r="L51" s="13" t="s">
        <v>27</v>
      </c>
      <c r="M51" s="14">
        <v>8034</v>
      </c>
      <c r="N51" s="14">
        <v>6541</v>
      </c>
      <c r="O51" s="14">
        <v>3311</v>
      </c>
      <c r="P51" s="14">
        <v>3254</v>
      </c>
      <c r="Q51" s="14">
        <v>2687</v>
      </c>
      <c r="R51" s="15">
        <v>-0.23952671916055401</v>
      </c>
    </row>
    <row r="52" spans="1:18" x14ac:dyDescent="0.3">
      <c r="A52" s="20" t="s">
        <v>52</v>
      </c>
      <c r="B52" s="13" t="s">
        <v>53</v>
      </c>
      <c r="C52" s="13" t="s">
        <v>54</v>
      </c>
      <c r="D52" s="13" t="s">
        <v>55</v>
      </c>
      <c r="E52" s="13" t="s">
        <v>21</v>
      </c>
      <c r="F52" s="13" t="s">
        <v>22</v>
      </c>
      <c r="G52" s="13" t="s">
        <v>27</v>
      </c>
      <c r="H52" s="13" t="s">
        <v>27</v>
      </c>
      <c r="I52" s="13" t="s">
        <v>27</v>
      </c>
      <c r="J52" s="13" t="s">
        <v>27</v>
      </c>
      <c r="K52" s="13" t="s">
        <v>22</v>
      </c>
      <c r="L52" s="13" t="s">
        <v>27</v>
      </c>
      <c r="M52" s="14">
        <v>9766</v>
      </c>
      <c r="N52" s="14">
        <v>8049</v>
      </c>
      <c r="O52" s="14">
        <v>5556</v>
      </c>
      <c r="P52" s="14">
        <v>5202</v>
      </c>
      <c r="Q52" s="14">
        <v>2373</v>
      </c>
      <c r="R52" s="15">
        <v>-0.29790601141591699</v>
      </c>
    </row>
    <row r="53" spans="1:18" x14ac:dyDescent="0.3">
      <c r="A53" s="20" t="s">
        <v>60</v>
      </c>
      <c r="B53" s="13" t="s">
        <v>61</v>
      </c>
      <c r="C53" s="13" t="s">
        <v>62</v>
      </c>
      <c r="D53" s="13" t="s">
        <v>63</v>
      </c>
      <c r="E53" s="13" t="s">
        <v>21</v>
      </c>
      <c r="F53" s="13" t="s">
        <v>22</v>
      </c>
      <c r="G53" s="13" t="s">
        <v>27</v>
      </c>
      <c r="H53" s="13" t="s">
        <v>27</v>
      </c>
      <c r="I53" s="13" t="s">
        <v>27</v>
      </c>
      <c r="J53" s="13" t="s">
        <v>27</v>
      </c>
      <c r="K53" s="13" t="s">
        <v>27</v>
      </c>
      <c r="L53" s="13" t="s">
        <v>27</v>
      </c>
      <c r="M53" s="14">
        <v>7555</v>
      </c>
      <c r="N53" s="14">
        <v>6551</v>
      </c>
      <c r="O53" s="14">
        <v>5188</v>
      </c>
      <c r="P53" s="14">
        <v>3436</v>
      </c>
      <c r="Q53" s="14">
        <v>2359</v>
      </c>
      <c r="R53" s="15">
        <v>-0.25247905109930902</v>
      </c>
    </row>
    <row r="54" spans="1:18" x14ac:dyDescent="0.3">
      <c r="A54" s="20" t="s">
        <v>215</v>
      </c>
      <c r="B54" s="13" t="s">
        <v>216</v>
      </c>
      <c r="C54" s="13" t="s">
        <v>217</v>
      </c>
      <c r="D54" s="13" t="s">
        <v>218</v>
      </c>
      <c r="E54" s="13" t="s">
        <v>206</v>
      </c>
      <c r="F54" s="13" t="s">
        <v>22</v>
      </c>
      <c r="G54" s="13" t="s">
        <v>27</v>
      </c>
      <c r="H54" s="13" t="s">
        <v>27</v>
      </c>
      <c r="I54" s="13" t="s">
        <v>27</v>
      </c>
      <c r="J54" s="13" t="s">
        <v>27</v>
      </c>
      <c r="K54" s="13" t="s">
        <v>22</v>
      </c>
      <c r="L54" s="13" t="s">
        <v>27</v>
      </c>
      <c r="M54" s="14">
        <v>8466</v>
      </c>
      <c r="N54" s="14">
        <v>4079</v>
      </c>
      <c r="O54" s="14">
        <v>2797</v>
      </c>
      <c r="P54" s="14">
        <v>2245</v>
      </c>
      <c r="Q54" s="14">
        <v>1696</v>
      </c>
      <c r="R54" s="15">
        <v>-0.33098339677163802</v>
      </c>
    </row>
    <row r="55" spans="1:18" x14ac:dyDescent="0.3">
      <c r="A55" s="19" t="s">
        <v>170</v>
      </c>
      <c r="B55" s="9" t="s">
        <v>171</v>
      </c>
      <c r="C55" s="9" t="s">
        <v>172</v>
      </c>
      <c r="D55" s="9" t="s">
        <v>173</v>
      </c>
      <c r="E55" s="9" t="s">
        <v>145</v>
      </c>
      <c r="F55" s="9" t="s">
        <v>22</v>
      </c>
      <c r="G55" s="9" t="s">
        <v>27</v>
      </c>
      <c r="H55" s="9" t="s">
        <v>27</v>
      </c>
      <c r="I55" s="9" t="s">
        <v>27</v>
      </c>
      <c r="J55" s="9" t="s">
        <v>27</v>
      </c>
      <c r="K55" s="9" t="s">
        <v>22</v>
      </c>
      <c r="L55" s="9" t="s">
        <v>22</v>
      </c>
      <c r="M55" s="10">
        <v>7703</v>
      </c>
      <c r="N55" s="10">
        <v>6957</v>
      </c>
      <c r="O55" s="10">
        <v>3898</v>
      </c>
      <c r="P55" s="10">
        <v>1857</v>
      </c>
      <c r="Q55" s="10">
        <v>1512</v>
      </c>
      <c r="R55" s="11">
        <v>-0.33438519484677698</v>
      </c>
    </row>
    <row r="56" spans="1:18" x14ac:dyDescent="0.3">
      <c r="A56" s="19" t="s">
        <v>121</v>
      </c>
      <c r="B56" s="9" t="s">
        <v>122</v>
      </c>
      <c r="C56" s="9" t="s">
        <v>123</v>
      </c>
      <c r="D56" s="9" t="s">
        <v>124</v>
      </c>
      <c r="E56" s="9" t="s">
        <v>84</v>
      </c>
      <c r="F56" s="9" t="s">
        <v>22</v>
      </c>
      <c r="G56" s="9" t="s">
        <v>27</v>
      </c>
      <c r="H56" s="9" t="s">
        <v>27</v>
      </c>
      <c r="I56" s="9" t="s">
        <v>27</v>
      </c>
      <c r="J56" s="9" t="s">
        <v>22</v>
      </c>
      <c r="K56" s="9" t="s">
        <v>27</v>
      </c>
      <c r="L56" s="9" t="s">
        <v>27</v>
      </c>
      <c r="M56" s="10">
        <v>6156</v>
      </c>
      <c r="N56" s="10">
        <v>6110</v>
      </c>
      <c r="O56" s="10">
        <v>5791</v>
      </c>
      <c r="P56" s="10">
        <v>1759</v>
      </c>
      <c r="Q56" s="10">
        <v>969</v>
      </c>
      <c r="R56" s="11">
        <v>-0.37012221518144001</v>
      </c>
    </row>
    <row r="57" spans="1:18" x14ac:dyDescent="0.3">
      <c r="A57" s="20" t="s">
        <v>182</v>
      </c>
      <c r="B57" s="13" t="s">
        <v>183</v>
      </c>
      <c r="C57" s="13" t="s">
        <v>184</v>
      </c>
      <c r="D57" s="13" t="s">
        <v>185</v>
      </c>
      <c r="E57" s="13" t="s">
        <v>145</v>
      </c>
      <c r="F57" s="13" t="s">
        <v>22</v>
      </c>
      <c r="G57" s="13" t="s">
        <v>27</v>
      </c>
      <c r="H57" s="13" t="s">
        <v>27</v>
      </c>
      <c r="I57" s="13" t="s">
        <v>27</v>
      </c>
      <c r="J57" s="13" t="s">
        <v>27</v>
      </c>
      <c r="K57" s="13" t="s">
        <v>22</v>
      </c>
      <c r="L57" s="13" t="s">
        <v>22</v>
      </c>
      <c r="M57" s="14">
        <v>7840</v>
      </c>
      <c r="N57" s="14">
        <v>5804</v>
      </c>
      <c r="O57" s="14">
        <v>4259</v>
      </c>
      <c r="P57" s="14">
        <v>4243</v>
      </c>
      <c r="Q57" s="14">
        <v>907</v>
      </c>
      <c r="R57" s="15">
        <v>-0.416792895134177</v>
      </c>
    </row>
    <row r="58" spans="1:18" x14ac:dyDescent="0.3">
      <c r="A58" s="20" t="s">
        <v>109</v>
      </c>
      <c r="B58" s="13" t="s">
        <v>110</v>
      </c>
      <c r="C58" s="13" t="s">
        <v>111</v>
      </c>
      <c r="D58" s="13" t="s">
        <v>112</v>
      </c>
      <c r="E58" s="13" t="s">
        <v>84</v>
      </c>
      <c r="F58" s="13" t="s">
        <v>22</v>
      </c>
      <c r="G58" s="13" t="s">
        <v>27</v>
      </c>
      <c r="H58" s="13" t="s">
        <v>27</v>
      </c>
      <c r="I58" s="13" t="s">
        <v>27</v>
      </c>
      <c r="J58" s="13" t="s">
        <v>22</v>
      </c>
      <c r="K58" s="13" t="s">
        <v>27</v>
      </c>
      <c r="L58" s="13" t="s">
        <v>27</v>
      </c>
      <c r="M58" s="14">
        <v>8331</v>
      </c>
      <c r="N58" s="14">
        <v>7667</v>
      </c>
      <c r="O58" s="14">
        <v>5952</v>
      </c>
      <c r="P58" s="14">
        <v>1998</v>
      </c>
      <c r="Q58" s="14">
        <v>375</v>
      </c>
      <c r="R58" s="15">
        <v>-0.53938981874158298</v>
      </c>
    </row>
    <row r="59" spans="1:18" x14ac:dyDescent="0.3">
      <c r="A59" s="20" t="s">
        <v>76</v>
      </c>
      <c r="B59" s="13" t="s">
        <v>77</v>
      </c>
      <c r="C59" s="13" t="s">
        <v>78</v>
      </c>
      <c r="D59" s="13" t="s">
        <v>79</v>
      </c>
      <c r="E59" s="13" t="s">
        <v>21</v>
      </c>
      <c r="F59" s="13" t="s">
        <v>22</v>
      </c>
      <c r="G59" s="13" t="s">
        <v>22</v>
      </c>
      <c r="H59" s="13" t="s">
        <v>27</v>
      </c>
      <c r="I59" s="13" t="s">
        <v>27</v>
      </c>
      <c r="J59" s="13" t="s">
        <v>27</v>
      </c>
      <c r="K59" s="13" t="s">
        <v>27</v>
      </c>
      <c r="L59" s="13" t="s">
        <v>27</v>
      </c>
      <c r="M59" s="14">
        <v>9058</v>
      </c>
      <c r="N59" s="14">
        <v>4839</v>
      </c>
      <c r="O59" s="14">
        <v>4776</v>
      </c>
      <c r="P59" s="14">
        <v>4024</v>
      </c>
      <c r="Q59" s="14">
        <v>369</v>
      </c>
      <c r="R59" s="15">
        <v>-0.55073921414194804</v>
      </c>
    </row>
    <row r="60" spans="1:18" x14ac:dyDescent="0.3">
      <c r="A60" s="20" t="s">
        <v>44</v>
      </c>
      <c r="B60" s="13" t="s">
        <v>45</v>
      </c>
      <c r="C60" s="13" t="s">
        <v>46</v>
      </c>
      <c r="D60" s="13" t="s">
        <v>47</v>
      </c>
      <c r="E60" s="13" t="s">
        <v>21</v>
      </c>
      <c r="F60" s="13" t="s">
        <v>22</v>
      </c>
      <c r="G60" s="13" t="s">
        <v>27</v>
      </c>
      <c r="H60" s="13" t="s">
        <v>27</v>
      </c>
      <c r="I60" s="13" t="s">
        <v>27</v>
      </c>
      <c r="J60" s="13" t="s">
        <v>27</v>
      </c>
      <c r="K60" s="13" t="s">
        <v>22</v>
      </c>
      <c r="L60" s="13" t="s">
        <v>27</v>
      </c>
      <c r="M60" s="14">
        <v>9252</v>
      </c>
      <c r="N60" s="14">
        <v>8499</v>
      </c>
      <c r="O60" s="14">
        <v>991</v>
      </c>
      <c r="P60" s="14">
        <v>448</v>
      </c>
      <c r="Q60" s="14">
        <v>211</v>
      </c>
      <c r="R60" s="15">
        <v>-0.61139202601329401</v>
      </c>
    </row>
    <row r="61" spans="1:18" x14ac:dyDescent="0.3">
      <c r="A61" s="19" t="s">
        <v>202</v>
      </c>
      <c r="B61" s="9" t="s">
        <v>203</v>
      </c>
      <c r="C61" s="9" t="s">
        <v>204</v>
      </c>
      <c r="D61" s="9" t="s">
        <v>205</v>
      </c>
      <c r="E61" s="9" t="s">
        <v>206</v>
      </c>
      <c r="F61" s="9" t="s">
        <v>22</v>
      </c>
      <c r="G61" s="9" t="s">
        <v>27</v>
      </c>
      <c r="H61" s="9" t="s">
        <v>27</v>
      </c>
      <c r="I61" s="9" t="s">
        <v>27</v>
      </c>
      <c r="J61" s="9" t="s">
        <v>27</v>
      </c>
      <c r="K61" s="9" t="s">
        <v>22</v>
      </c>
      <c r="L61" s="9" t="s">
        <v>27</v>
      </c>
      <c r="M61" s="10">
        <v>8156</v>
      </c>
      <c r="N61" s="10">
        <v>1245</v>
      </c>
      <c r="O61" s="10">
        <v>791</v>
      </c>
      <c r="P61" s="10">
        <v>338</v>
      </c>
      <c r="Q61" s="10">
        <v>44</v>
      </c>
      <c r="R61" s="11">
        <v>-0.72898466539472995</v>
      </c>
    </row>
  </sheetData>
  <sortState xmlns:xlrd2="http://schemas.microsoft.com/office/spreadsheetml/2017/richdata2" ref="A2:R66">
    <sortCondition descending="1" ref="Q2:Q66"/>
  </sortState>
  <pageMargins left="0.7" right="0.7" top="0.75" bottom="0.75" header="0.3" footer="0.3"/>
  <ignoredErrors>
    <ignoredError sqref="M1:Q1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ort5CAGR">
                <anchor moveWithCells="1" sizeWithCells="1">
                  <from>
                    <xdr:col>18</xdr:col>
                    <xdr:colOff>220980</xdr:colOff>
                    <xdr:row>1</xdr:row>
                    <xdr:rowOff>60960</xdr:rowOff>
                  </from>
                  <to>
                    <xdr:col>20</xdr:col>
                    <xdr:colOff>106680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2021">
                <anchor moveWithCells="1" sizeWithCells="1">
                  <from>
                    <xdr:col>18</xdr:col>
                    <xdr:colOff>236220</xdr:colOff>
                    <xdr:row>7</xdr:row>
                    <xdr:rowOff>83820</xdr:rowOff>
                  </from>
                  <to>
                    <xdr:col>20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2"/>
  <dimension ref="A1:R64"/>
  <sheetViews>
    <sheetView topLeftCell="C3" workbookViewId="0">
      <selection activeCell="K3" sqref="K3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4.21875" customWidth="1"/>
    <col min="7" max="8" width="10.44140625" customWidth="1"/>
    <col min="9" max="9" width="30.77734375" customWidth="1"/>
    <col min="10" max="10" width="10.44140625" customWidth="1"/>
    <col min="11" max="11" width="15.5546875" customWidth="1"/>
    <col min="12" max="12" width="11.44140625" customWidth="1"/>
    <col min="13" max="13" width="28.5546875" customWidth="1"/>
    <col min="14" max="18" width="11.44140625" customWidth="1"/>
  </cols>
  <sheetData>
    <row r="1" spans="1:18" ht="18" x14ac:dyDescent="0.35">
      <c r="A1" s="2" t="s">
        <v>0</v>
      </c>
    </row>
    <row r="3" spans="1:18" x14ac:dyDescent="0.3">
      <c r="A3" s="1" t="s">
        <v>263</v>
      </c>
      <c r="B3" s="1" t="s">
        <v>264</v>
      </c>
      <c r="C3" s="1" t="s">
        <v>265</v>
      </c>
      <c r="D3" s="1" t="s">
        <v>266</v>
      </c>
      <c r="E3" s="1" t="s">
        <v>267</v>
      </c>
      <c r="F3" s="5" t="s">
        <v>1</v>
      </c>
      <c r="G3" t="s">
        <v>268</v>
      </c>
      <c r="H3" t="s">
        <v>269</v>
      </c>
      <c r="I3" s="6" t="s">
        <v>2</v>
      </c>
      <c r="J3" s="7" t="s">
        <v>270</v>
      </c>
      <c r="K3" s="7" t="s">
        <v>271</v>
      </c>
      <c r="L3" s="7" t="s">
        <v>272</v>
      </c>
      <c r="M3" s="8" t="s">
        <v>3</v>
      </c>
      <c r="N3" s="3" t="s">
        <v>273</v>
      </c>
      <c r="O3" s="3" t="s">
        <v>274</v>
      </c>
      <c r="P3" s="3" t="s">
        <v>275</v>
      </c>
      <c r="Q3" s="3" t="s">
        <v>276</v>
      </c>
      <c r="R3" s="3" t="s">
        <v>277</v>
      </c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17</v>
      </c>
      <c r="B5" t="s">
        <v>18</v>
      </c>
      <c r="C5" t="s">
        <v>19</v>
      </c>
      <c r="D5" t="s">
        <v>20</v>
      </c>
      <c r="E5" t="s">
        <v>21</v>
      </c>
      <c r="F5" t="s">
        <v>22</v>
      </c>
      <c r="G5" t="s">
        <v>22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1982</v>
      </c>
      <c r="N5">
        <v>5388</v>
      </c>
      <c r="O5">
        <v>7063</v>
      </c>
      <c r="P5">
        <v>7208</v>
      </c>
      <c r="Q5">
        <v>9093</v>
      </c>
      <c r="R5" s="4">
        <f t="shared" ref="R5:R36" si="0">_xlfn.RRI($Q$4-$M$4,M5,Q5)</f>
        <v>0.46352749292411066</v>
      </c>
    </row>
    <row r="6" spans="1:18" x14ac:dyDescent="0.3">
      <c r="A6" t="s">
        <v>23</v>
      </c>
      <c r="B6" t="s">
        <v>24</v>
      </c>
      <c r="C6" t="s">
        <v>25</v>
      </c>
      <c r="D6" t="s">
        <v>26</v>
      </c>
      <c r="E6" t="s">
        <v>21</v>
      </c>
      <c r="F6" t="s">
        <v>22</v>
      </c>
      <c r="G6" t="s">
        <v>22</v>
      </c>
      <c r="H6" t="s">
        <v>22</v>
      </c>
      <c r="I6" t="s">
        <v>27</v>
      </c>
      <c r="J6" t="s">
        <v>22</v>
      </c>
      <c r="K6" t="s">
        <v>22</v>
      </c>
      <c r="L6" t="s">
        <v>22</v>
      </c>
      <c r="M6">
        <v>2786</v>
      </c>
      <c r="N6">
        <v>3804</v>
      </c>
      <c r="O6">
        <v>4121</v>
      </c>
      <c r="P6">
        <v>6210</v>
      </c>
      <c r="Q6">
        <v>6909</v>
      </c>
      <c r="R6" s="4">
        <f t="shared" si="0"/>
        <v>0.25489826874508914</v>
      </c>
    </row>
    <row r="7" spans="1:18" x14ac:dyDescent="0.3">
      <c r="A7" t="s">
        <v>28</v>
      </c>
      <c r="B7" t="s">
        <v>29</v>
      </c>
      <c r="C7" t="s">
        <v>30</v>
      </c>
      <c r="D7" t="s">
        <v>31</v>
      </c>
      <c r="E7" t="s">
        <v>21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22</v>
      </c>
      <c r="M7">
        <v>1209</v>
      </c>
      <c r="N7">
        <v>1534</v>
      </c>
      <c r="O7">
        <v>1634</v>
      </c>
      <c r="P7">
        <v>4302</v>
      </c>
      <c r="Q7">
        <v>9768</v>
      </c>
      <c r="R7" s="4">
        <f t="shared" si="0"/>
        <v>0.68595057009486848</v>
      </c>
    </row>
    <row r="8" spans="1:18" x14ac:dyDescent="0.3">
      <c r="A8" t="s">
        <v>32</v>
      </c>
      <c r="B8" t="s">
        <v>33</v>
      </c>
      <c r="C8" t="s">
        <v>34</v>
      </c>
      <c r="D8" t="s">
        <v>35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906</v>
      </c>
      <c r="N8">
        <v>1251</v>
      </c>
      <c r="O8">
        <v>2897</v>
      </c>
      <c r="P8">
        <v>4499</v>
      </c>
      <c r="Q8">
        <v>9428</v>
      </c>
      <c r="R8" s="4">
        <f t="shared" si="0"/>
        <v>0.79606828454142997</v>
      </c>
    </row>
    <row r="9" spans="1:18" x14ac:dyDescent="0.3">
      <c r="A9" t="s">
        <v>36</v>
      </c>
      <c r="B9" t="s">
        <v>37</v>
      </c>
      <c r="C9" t="s">
        <v>38</v>
      </c>
      <c r="D9" t="s">
        <v>39</v>
      </c>
      <c r="E9" t="s">
        <v>21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22</v>
      </c>
      <c r="M9">
        <v>1421</v>
      </c>
      <c r="N9">
        <v>1893</v>
      </c>
      <c r="O9">
        <v>2722</v>
      </c>
      <c r="P9">
        <v>4410</v>
      </c>
      <c r="Q9">
        <v>5873</v>
      </c>
      <c r="R9" s="4">
        <f t="shared" si="0"/>
        <v>0.42582583880267388</v>
      </c>
    </row>
    <row r="10" spans="1:18" x14ac:dyDescent="0.3">
      <c r="A10" t="s">
        <v>40</v>
      </c>
      <c r="B10" t="s">
        <v>41</v>
      </c>
      <c r="C10" t="s">
        <v>42</v>
      </c>
      <c r="D10" t="s">
        <v>43</v>
      </c>
      <c r="E10" t="s">
        <v>21</v>
      </c>
      <c r="F10" t="s">
        <v>22</v>
      </c>
      <c r="G10" t="s">
        <v>22</v>
      </c>
      <c r="H10" t="s">
        <v>22</v>
      </c>
      <c r="I10" t="s">
        <v>27</v>
      </c>
      <c r="J10" t="s">
        <v>22</v>
      </c>
      <c r="K10" t="s">
        <v>22</v>
      </c>
      <c r="L10" t="s">
        <v>27</v>
      </c>
      <c r="M10">
        <v>2341</v>
      </c>
      <c r="N10">
        <v>6105</v>
      </c>
      <c r="O10">
        <v>7777</v>
      </c>
      <c r="P10">
        <v>7891</v>
      </c>
      <c r="Q10">
        <v>8758</v>
      </c>
      <c r="R10" s="4">
        <f t="shared" si="0"/>
        <v>0.390755806385503</v>
      </c>
    </row>
    <row r="11" spans="1:18" x14ac:dyDescent="0.3">
      <c r="A11" t="s">
        <v>44</v>
      </c>
      <c r="B11" t="s">
        <v>45</v>
      </c>
      <c r="C11" t="s">
        <v>46</v>
      </c>
      <c r="D11" t="s">
        <v>47</v>
      </c>
      <c r="E11" t="s">
        <v>21</v>
      </c>
      <c r="F11" t="s">
        <v>22</v>
      </c>
      <c r="G11" t="s">
        <v>27</v>
      </c>
      <c r="H11" t="s">
        <v>27</v>
      </c>
      <c r="I11" t="s">
        <v>27</v>
      </c>
      <c r="J11" t="s">
        <v>27</v>
      </c>
      <c r="K11" t="s">
        <v>22</v>
      </c>
      <c r="L11" t="s">
        <v>27</v>
      </c>
      <c r="M11">
        <v>9252</v>
      </c>
      <c r="N11">
        <v>8499</v>
      </c>
      <c r="O11">
        <v>991</v>
      </c>
      <c r="P11">
        <v>448</v>
      </c>
      <c r="Q11">
        <v>211</v>
      </c>
      <c r="R11" s="4">
        <f t="shared" si="0"/>
        <v>-0.61139202601329412</v>
      </c>
    </row>
    <row r="12" spans="1:18" x14ac:dyDescent="0.3">
      <c r="A12" t="s">
        <v>48</v>
      </c>
      <c r="B12" t="s">
        <v>49</v>
      </c>
      <c r="C12" t="s">
        <v>50</v>
      </c>
      <c r="D12" t="s">
        <v>51</v>
      </c>
      <c r="E12" t="s">
        <v>21</v>
      </c>
      <c r="F12" t="s">
        <v>22</v>
      </c>
      <c r="G12" t="s">
        <v>27</v>
      </c>
      <c r="H12" t="s">
        <v>22</v>
      </c>
      <c r="I12" t="s">
        <v>22</v>
      </c>
      <c r="J12" t="s">
        <v>27</v>
      </c>
      <c r="K12" t="s">
        <v>22</v>
      </c>
      <c r="L12" t="s">
        <v>27</v>
      </c>
      <c r="M12">
        <v>1581</v>
      </c>
      <c r="N12">
        <v>4799</v>
      </c>
      <c r="O12">
        <v>6582</v>
      </c>
      <c r="P12">
        <v>9024</v>
      </c>
      <c r="Q12">
        <v>9759</v>
      </c>
      <c r="R12" s="4">
        <f t="shared" si="0"/>
        <v>0.57622554654037406</v>
      </c>
    </row>
    <row r="13" spans="1:18" x14ac:dyDescent="0.3">
      <c r="A13" t="s">
        <v>52</v>
      </c>
      <c r="B13" t="s">
        <v>53</v>
      </c>
      <c r="C13" t="s">
        <v>54</v>
      </c>
      <c r="D13" t="s">
        <v>55</v>
      </c>
      <c r="E13" t="s">
        <v>21</v>
      </c>
      <c r="F13" t="s">
        <v>22</v>
      </c>
      <c r="G13" t="s">
        <v>27</v>
      </c>
      <c r="H13" t="s">
        <v>27</v>
      </c>
      <c r="I13" t="s">
        <v>27</v>
      </c>
      <c r="J13" t="s">
        <v>27</v>
      </c>
      <c r="K13" t="s">
        <v>22</v>
      </c>
      <c r="L13" t="s">
        <v>27</v>
      </c>
      <c r="M13">
        <v>9766</v>
      </c>
      <c r="N13">
        <v>8049</v>
      </c>
      <c r="O13">
        <v>5556</v>
      </c>
      <c r="P13">
        <v>5202</v>
      </c>
      <c r="Q13">
        <v>2373</v>
      </c>
      <c r="R13" s="4">
        <f t="shared" si="0"/>
        <v>-0.29790601141591733</v>
      </c>
    </row>
    <row r="14" spans="1:18" x14ac:dyDescent="0.3">
      <c r="A14" t="s">
        <v>56</v>
      </c>
      <c r="B14" t="s">
        <v>57</v>
      </c>
      <c r="C14" t="s">
        <v>58</v>
      </c>
      <c r="D14" t="s">
        <v>59</v>
      </c>
      <c r="E14" t="s">
        <v>21</v>
      </c>
      <c r="F14" t="s">
        <v>22</v>
      </c>
      <c r="G14" t="s">
        <v>22</v>
      </c>
      <c r="H14" t="s">
        <v>27</v>
      </c>
      <c r="I14" t="s">
        <v>22</v>
      </c>
      <c r="J14" t="s">
        <v>27</v>
      </c>
      <c r="K14" t="s">
        <v>22</v>
      </c>
      <c r="L14" t="s">
        <v>27</v>
      </c>
      <c r="M14">
        <v>1530</v>
      </c>
      <c r="N14">
        <v>1620</v>
      </c>
      <c r="O14">
        <v>2027</v>
      </c>
      <c r="P14">
        <v>4881</v>
      </c>
      <c r="Q14">
        <v>6002</v>
      </c>
      <c r="R14" s="4">
        <f t="shared" si="0"/>
        <v>0.40734683274409145</v>
      </c>
    </row>
    <row r="15" spans="1:18" x14ac:dyDescent="0.3">
      <c r="A15" t="s">
        <v>60</v>
      </c>
      <c r="B15" t="s">
        <v>61</v>
      </c>
      <c r="C15" t="s">
        <v>62</v>
      </c>
      <c r="D15" t="s">
        <v>63</v>
      </c>
      <c r="E15" t="s">
        <v>21</v>
      </c>
      <c r="F15" t="s">
        <v>22</v>
      </c>
      <c r="G15" t="s">
        <v>27</v>
      </c>
      <c r="H15" t="s">
        <v>27</v>
      </c>
      <c r="I15" t="s">
        <v>27</v>
      </c>
      <c r="J15" t="s">
        <v>27</v>
      </c>
      <c r="K15" t="s">
        <v>27</v>
      </c>
      <c r="L15" t="s">
        <v>27</v>
      </c>
      <c r="M15">
        <v>7555</v>
      </c>
      <c r="N15">
        <v>6551</v>
      </c>
      <c r="O15">
        <v>5188</v>
      </c>
      <c r="P15">
        <v>3436</v>
      </c>
      <c r="Q15">
        <v>2359</v>
      </c>
      <c r="R15" s="4">
        <f t="shared" si="0"/>
        <v>-0.25247905109930902</v>
      </c>
    </row>
    <row r="16" spans="1:18" x14ac:dyDescent="0.3">
      <c r="A16" t="s">
        <v>64</v>
      </c>
      <c r="B16" t="s">
        <v>65</v>
      </c>
      <c r="C16" t="s">
        <v>66</v>
      </c>
      <c r="D16" t="s">
        <v>67</v>
      </c>
      <c r="E16" t="s">
        <v>21</v>
      </c>
      <c r="F16" t="s">
        <v>22</v>
      </c>
      <c r="G16" t="s">
        <v>27</v>
      </c>
      <c r="H16" t="s">
        <v>27</v>
      </c>
      <c r="I16" t="s">
        <v>27</v>
      </c>
      <c r="J16" t="s">
        <v>27</v>
      </c>
      <c r="K16" t="s">
        <v>27</v>
      </c>
      <c r="L16" t="s">
        <v>27</v>
      </c>
      <c r="M16">
        <v>1532</v>
      </c>
      <c r="N16">
        <v>2678</v>
      </c>
      <c r="O16">
        <v>4068</v>
      </c>
      <c r="P16">
        <v>4278</v>
      </c>
      <c r="Q16">
        <v>5382</v>
      </c>
      <c r="R16" s="4">
        <f t="shared" si="0"/>
        <v>0.3690560602470212</v>
      </c>
    </row>
    <row r="17" spans="1:18" x14ac:dyDescent="0.3">
      <c r="A17" t="s">
        <v>68</v>
      </c>
      <c r="B17" t="s">
        <v>69</v>
      </c>
      <c r="C17" t="s">
        <v>70</v>
      </c>
      <c r="D17" t="s">
        <v>71</v>
      </c>
      <c r="E17" t="s">
        <v>21</v>
      </c>
      <c r="F17" t="s">
        <v>22</v>
      </c>
      <c r="G17" t="s">
        <v>27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24</v>
      </c>
      <c r="N17">
        <v>1797</v>
      </c>
      <c r="O17">
        <v>3548</v>
      </c>
      <c r="P17">
        <v>3668</v>
      </c>
      <c r="Q17">
        <v>8592</v>
      </c>
      <c r="R17" s="4">
        <f t="shared" si="0"/>
        <v>3.3498147004699526</v>
      </c>
    </row>
    <row r="18" spans="1:18" x14ac:dyDescent="0.3">
      <c r="A18" t="s">
        <v>72</v>
      </c>
      <c r="B18" t="s">
        <v>73</v>
      </c>
      <c r="C18" t="s">
        <v>74</v>
      </c>
      <c r="D18" t="s">
        <v>75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861</v>
      </c>
      <c r="N18">
        <v>1314</v>
      </c>
      <c r="O18">
        <v>1810</v>
      </c>
      <c r="P18">
        <v>6510</v>
      </c>
      <c r="Q18">
        <v>9271</v>
      </c>
      <c r="R18" s="4">
        <f t="shared" si="0"/>
        <v>0.81146879617010592</v>
      </c>
    </row>
    <row r="19" spans="1:18" x14ac:dyDescent="0.3">
      <c r="A19" t="s">
        <v>76</v>
      </c>
      <c r="B19" t="s">
        <v>77</v>
      </c>
      <c r="C19" t="s">
        <v>78</v>
      </c>
      <c r="D19" t="s">
        <v>79</v>
      </c>
      <c r="E19" t="s">
        <v>21</v>
      </c>
      <c r="F19" t="s">
        <v>22</v>
      </c>
      <c r="G19" t="s">
        <v>22</v>
      </c>
      <c r="H19" t="s">
        <v>27</v>
      </c>
      <c r="I19" t="s">
        <v>27</v>
      </c>
      <c r="J19" t="s">
        <v>27</v>
      </c>
      <c r="K19" t="s">
        <v>27</v>
      </c>
      <c r="L19" t="s">
        <v>27</v>
      </c>
      <c r="M19">
        <v>9058</v>
      </c>
      <c r="N19">
        <v>4839</v>
      </c>
      <c r="O19">
        <v>4776</v>
      </c>
      <c r="P19">
        <v>4024</v>
      </c>
      <c r="Q19">
        <v>369</v>
      </c>
      <c r="R19" s="4">
        <f t="shared" si="0"/>
        <v>-0.55073921414194782</v>
      </c>
    </row>
    <row r="20" spans="1:18" x14ac:dyDescent="0.3">
      <c r="A20" t="s">
        <v>80</v>
      </c>
      <c r="B20" t="s">
        <v>81</v>
      </c>
      <c r="C20" t="s">
        <v>82</v>
      </c>
      <c r="D20" t="s">
        <v>83</v>
      </c>
      <c r="E20" t="s">
        <v>84</v>
      </c>
      <c r="F20" t="s">
        <v>22</v>
      </c>
      <c r="G20" t="s">
        <v>22</v>
      </c>
      <c r="H20" t="s">
        <v>27</v>
      </c>
      <c r="I20" t="s">
        <v>27</v>
      </c>
      <c r="J20" t="s">
        <v>27</v>
      </c>
      <c r="K20" t="s">
        <v>27</v>
      </c>
      <c r="L20" t="s">
        <v>27</v>
      </c>
      <c r="M20">
        <v>3501</v>
      </c>
      <c r="N20">
        <v>7079</v>
      </c>
      <c r="O20">
        <v>7438</v>
      </c>
      <c r="P20">
        <v>7443</v>
      </c>
      <c r="Q20">
        <v>9225</v>
      </c>
      <c r="R20" s="4">
        <f t="shared" si="0"/>
        <v>0.27407081068210992</v>
      </c>
    </row>
    <row r="21" spans="1:18" x14ac:dyDescent="0.3">
      <c r="A21" t="s">
        <v>85</v>
      </c>
      <c r="B21" t="s">
        <v>86</v>
      </c>
      <c r="C21" t="s">
        <v>87</v>
      </c>
      <c r="D21" t="s">
        <v>88</v>
      </c>
      <c r="E21" t="s">
        <v>84</v>
      </c>
      <c r="F21" t="s">
        <v>22</v>
      </c>
      <c r="G21" t="s">
        <v>22</v>
      </c>
      <c r="H21" t="s">
        <v>27</v>
      </c>
      <c r="I21" t="s">
        <v>27</v>
      </c>
      <c r="J21" t="s">
        <v>27</v>
      </c>
      <c r="K21" t="s">
        <v>27</v>
      </c>
      <c r="L21" t="s">
        <v>27</v>
      </c>
      <c r="M21">
        <v>3916</v>
      </c>
      <c r="N21">
        <v>4218</v>
      </c>
      <c r="O21">
        <v>5072</v>
      </c>
      <c r="P21">
        <v>5201</v>
      </c>
      <c r="Q21">
        <v>7588</v>
      </c>
      <c r="R21" s="4">
        <f t="shared" si="0"/>
        <v>0.17983468576187267</v>
      </c>
    </row>
    <row r="22" spans="1:18" x14ac:dyDescent="0.3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 t="shared" si="0"/>
        <v>0.90588403033885334</v>
      </c>
    </row>
    <row r="23" spans="1:18" x14ac:dyDescent="0.3">
      <c r="A23" t="s">
        <v>93</v>
      </c>
      <c r="B23" t="s">
        <v>94</v>
      </c>
      <c r="C23" t="s">
        <v>95</v>
      </c>
      <c r="D23" t="s">
        <v>96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9773</v>
      </c>
      <c r="N23">
        <v>9179</v>
      </c>
      <c r="O23">
        <v>8390</v>
      </c>
      <c r="P23">
        <v>8256</v>
      </c>
      <c r="Q23">
        <v>3815</v>
      </c>
      <c r="R23" s="4">
        <f t="shared" si="0"/>
        <v>-0.20956409258224717</v>
      </c>
    </row>
    <row r="24" spans="1:18" x14ac:dyDescent="0.3">
      <c r="A24" t="s">
        <v>97</v>
      </c>
      <c r="B24" t="s">
        <v>98</v>
      </c>
      <c r="C24" t="s">
        <v>99</v>
      </c>
      <c r="D24" t="s">
        <v>100</v>
      </c>
      <c r="E24" t="s">
        <v>84</v>
      </c>
      <c r="F24" t="s">
        <v>22</v>
      </c>
      <c r="G24" t="s">
        <v>22</v>
      </c>
      <c r="H24" t="s">
        <v>27</v>
      </c>
      <c r="I24" t="s">
        <v>22</v>
      </c>
      <c r="J24" t="s">
        <v>27</v>
      </c>
      <c r="K24" t="s">
        <v>22</v>
      </c>
      <c r="L24" t="s">
        <v>27</v>
      </c>
      <c r="M24">
        <v>73</v>
      </c>
      <c r="N24">
        <v>3485</v>
      </c>
      <c r="O24">
        <v>4592</v>
      </c>
      <c r="P24">
        <v>5143</v>
      </c>
      <c r="Q24">
        <v>8100</v>
      </c>
      <c r="R24" s="4">
        <f t="shared" si="0"/>
        <v>2.2455667067018901</v>
      </c>
    </row>
    <row r="25" spans="1:18" x14ac:dyDescent="0.3">
      <c r="A25" t="s">
        <v>101</v>
      </c>
      <c r="B25" t="s">
        <v>102</v>
      </c>
      <c r="C25" t="s">
        <v>103</v>
      </c>
      <c r="D25" t="s">
        <v>104</v>
      </c>
      <c r="E25" t="s">
        <v>84</v>
      </c>
      <c r="F25" t="s">
        <v>22</v>
      </c>
      <c r="G25" t="s">
        <v>22</v>
      </c>
      <c r="H25" t="s">
        <v>27</v>
      </c>
      <c r="I25" t="s">
        <v>22</v>
      </c>
      <c r="J25" t="s">
        <v>27</v>
      </c>
      <c r="K25" t="s">
        <v>22</v>
      </c>
      <c r="L25" t="s">
        <v>27</v>
      </c>
      <c r="M25">
        <v>238</v>
      </c>
      <c r="N25">
        <v>1235</v>
      </c>
      <c r="O25">
        <v>1822</v>
      </c>
      <c r="P25">
        <v>7074</v>
      </c>
      <c r="Q25">
        <v>8207</v>
      </c>
      <c r="R25" s="4">
        <f t="shared" si="0"/>
        <v>1.4232703532020747</v>
      </c>
    </row>
    <row r="26" spans="1:18" x14ac:dyDescent="0.3">
      <c r="A26" t="s">
        <v>105</v>
      </c>
      <c r="B26" t="s">
        <v>106</v>
      </c>
      <c r="C26" t="s">
        <v>107</v>
      </c>
      <c r="D26" t="s">
        <v>108</v>
      </c>
      <c r="E26" t="s">
        <v>84</v>
      </c>
      <c r="F26" t="s">
        <v>22</v>
      </c>
      <c r="G26" t="s">
        <v>22</v>
      </c>
      <c r="H26" t="s">
        <v>27</v>
      </c>
      <c r="I26" t="s">
        <v>22</v>
      </c>
      <c r="J26" t="s">
        <v>27</v>
      </c>
      <c r="K26" t="s">
        <v>22</v>
      </c>
      <c r="L26" t="s">
        <v>27</v>
      </c>
      <c r="M26">
        <v>1368</v>
      </c>
      <c r="N26">
        <v>3447</v>
      </c>
      <c r="O26">
        <v>4535</v>
      </c>
      <c r="P26">
        <v>5476</v>
      </c>
      <c r="Q26">
        <v>9983</v>
      </c>
      <c r="R26" s="4">
        <f t="shared" si="0"/>
        <v>0.64359095818904954</v>
      </c>
    </row>
    <row r="27" spans="1:18" x14ac:dyDescent="0.3">
      <c r="A27" t="s">
        <v>109</v>
      </c>
      <c r="B27" t="s">
        <v>110</v>
      </c>
      <c r="C27" t="s">
        <v>111</v>
      </c>
      <c r="D27" t="s">
        <v>112</v>
      </c>
      <c r="E27" t="s">
        <v>84</v>
      </c>
      <c r="F27" t="s">
        <v>22</v>
      </c>
      <c r="G27" t="s">
        <v>27</v>
      </c>
      <c r="H27" t="s">
        <v>27</v>
      </c>
      <c r="I27" t="s">
        <v>27</v>
      </c>
      <c r="J27" t="s">
        <v>22</v>
      </c>
      <c r="K27" t="s">
        <v>27</v>
      </c>
      <c r="L27" t="s">
        <v>27</v>
      </c>
      <c r="M27">
        <v>8331</v>
      </c>
      <c r="N27">
        <v>7667</v>
      </c>
      <c r="O27">
        <v>5952</v>
      </c>
      <c r="P27">
        <v>1998</v>
      </c>
      <c r="Q27">
        <v>375</v>
      </c>
      <c r="R27" s="4">
        <f t="shared" si="0"/>
        <v>-0.53938981874158332</v>
      </c>
    </row>
    <row r="28" spans="1:18" x14ac:dyDescent="0.3">
      <c r="A28" t="s">
        <v>113</v>
      </c>
      <c r="B28" t="s">
        <v>114</v>
      </c>
      <c r="C28" t="s">
        <v>115</v>
      </c>
      <c r="D28" t="s">
        <v>116</v>
      </c>
      <c r="E28" t="s">
        <v>84</v>
      </c>
      <c r="F28" t="s">
        <v>22</v>
      </c>
      <c r="G28" t="s">
        <v>22</v>
      </c>
      <c r="H28" t="s">
        <v>27</v>
      </c>
      <c r="I28" t="s">
        <v>22</v>
      </c>
      <c r="J28" t="s">
        <v>22</v>
      </c>
      <c r="K28" t="s">
        <v>22</v>
      </c>
      <c r="L28" t="s">
        <v>27</v>
      </c>
      <c r="M28">
        <v>1779</v>
      </c>
      <c r="N28">
        <v>2124</v>
      </c>
      <c r="O28">
        <v>2844</v>
      </c>
      <c r="P28">
        <v>6877</v>
      </c>
      <c r="Q28">
        <v>9570</v>
      </c>
      <c r="R28" s="4">
        <f t="shared" si="0"/>
        <v>0.52294422157633269</v>
      </c>
    </row>
    <row r="29" spans="1:18" x14ac:dyDescent="0.3">
      <c r="A29" t="s">
        <v>117</v>
      </c>
      <c r="B29" t="s">
        <v>118</v>
      </c>
      <c r="C29" t="s">
        <v>119</v>
      </c>
      <c r="D29" t="s">
        <v>120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22</v>
      </c>
      <c r="K29" t="s">
        <v>22</v>
      </c>
      <c r="L29" t="s">
        <v>27</v>
      </c>
      <c r="M29">
        <v>570</v>
      </c>
      <c r="N29">
        <v>1322</v>
      </c>
      <c r="O29">
        <v>7279</v>
      </c>
      <c r="P29">
        <v>8443</v>
      </c>
      <c r="Q29">
        <v>9571</v>
      </c>
      <c r="R29" s="4">
        <f t="shared" si="0"/>
        <v>1.0242801438529217</v>
      </c>
    </row>
    <row r="30" spans="1:18" x14ac:dyDescent="0.3">
      <c r="A30" t="s">
        <v>121</v>
      </c>
      <c r="B30" t="s">
        <v>122</v>
      </c>
      <c r="C30" t="s">
        <v>123</v>
      </c>
      <c r="D30" t="s">
        <v>124</v>
      </c>
      <c r="E30" t="s">
        <v>84</v>
      </c>
      <c r="F30" t="s">
        <v>22</v>
      </c>
      <c r="G30" t="s">
        <v>27</v>
      </c>
      <c r="H30" t="s">
        <v>27</v>
      </c>
      <c r="I30" t="s">
        <v>27</v>
      </c>
      <c r="J30" t="s">
        <v>22</v>
      </c>
      <c r="K30" t="s">
        <v>27</v>
      </c>
      <c r="L30" t="s">
        <v>27</v>
      </c>
      <c r="M30">
        <v>6156</v>
      </c>
      <c r="N30">
        <v>6110</v>
      </c>
      <c r="O30">
        <v>5791</v>
      </c>
      <c r="P30">
        <v>1759</v>
      </c>
      <c r="Q30">
        <v>969</v>
      </c>
      <c r="R30" s="4">
        <f t="shared" si="0"/>
        <v>-0.37012221518144006</v>
      </c>
    </row>
    <row r="31" spans="1:18" x14ac:dyDescent="0.3">
      <c r="A31" t="s">
        <v>125</v>
      </c>
      <c r="B31" t="s">
        <v>126</v>
      </c>
      <c r="C31" t="s">
        <v>127</v>
      </c>
      <c r="D31" t="s">
        <v>128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22</v>
      </c>
      <c r="K31" t="s">
        <v>22</v>
      </c>
      <c r="L31" t="s">
        <v>27</v>
      </c>
      <c r="M31">
        <v>209</v>
      </c>
      <c r="N31">
        <v>621</v>
      </c>
      <c r="O31">
        <v>3098</v>
      </c>
      <c r="P31">
        <v>7118</v>
      </c>
      <c r="Q31">
        <v>8433</v>
      </c>
      <c r="R31" s="4">
        <f t="shared" si="0"/>
        <v>1.5203389637502625</v>
      </c>
    </row>
    <row r="32" spans="1:18" x14ac:dyDescent="0.3">
      <c r="A32" t="s">
        <v>129</v>
      </c>
      <c r="B32" t="s">
        <v>130</v>
      </c>
      <c r="C32" t="s">
        <v>131</v>
      </c>
      <c r="D32" t="s">
        <v>132</v>
      </c>
      <c r="E32" t="s">
        <v>84</v>
      </c>
      <c r="F32" t="s">
        <v>22</v>
      </c>
      <c r="G32" t="s">
        <v>22</v>
      </c>
      <c r="H32" t="s">
        <v>27</v>
      </c>
      <c r="I32" t="s">
        <v>27</v>
      </c>
      <c r="J32" t="s">
        <v>27</v>
      </c>
      <c r="K32" t="s">
        <v>27</v>
      </c>
      <c r="L32" t="s">
        <v>27</v>
      </c>
      <c r="M32">
        <v>6309</v>
      </c>
      <c r="N32">
        <v>6227</v>
      </c>
      <c r="O32">
        <v>5123</v>
      </c>
      <c r="P32">
        <v>4968</v>
      </c>
      <c r="Q32">
        <v>3857</v>
      </c>
      <c r="R32" s="4">
        <f t="shared" si="0"/>
        <v>-0.11575568185753915</v>
      </c>
    </row>
    <row r="33" spans="1:18" x14ac:dyDescent="0.3">
      <c r="A33" t="s">
        <v>133</v>
      </c>
      <c r="B33" t="s">
        <v>134</v>
      </c>
      <c r="C33" t="s">
        <v>135</v>
      </c>
      <c r="D33" t="s">
        <v>136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27</v>
      </c>
      <c r="K33" t="s">
        <v>22</v>
      </c>
      <c r="L33" t="s">
        <v>27</v>
      </c>
      <c r="M33">
        <v>712</v>
      </c>
      <c r="N33">
        <v>4182</v>
      </c>
      <c r="O33">
        <v>6087</v>
      </c>
      <c r="P33">
        <v>7494</v>
      </c>
      <c r="Q33">
        <v>8599</v>
      </c>
      <c r="R33" s="4">
        <f t="shared" si="0"/>
        <v>0.86419779018759768</v>
      </c>
    </row>
    <row r="34" spans="1:18" x14ac:dyDescent="0.3">
      <c r="A34" t="s">
        <v>137</v>
      </c>
      <c r="B34" t="s">
        <v>138</v>
      </c>
      <c r="C34" t="s">
        <v>139</v>
      </c>
      <c r="D34" t="s">
        <v>140</v>
      </c>
      <c r="E34" t="s">
        <v>84</v>
      </c>
      <c r="F34" t="s">
        <v>22</v>
      </c>
      <c r="G34" t="s">
        <v>22</v>
      </c>
      <c r="H34" t="s">
        <v>27</v>
      </c>
      <c r="I34" t="s">
        <v>27</v>
      </c>
      <c r="J34" t="s">
        <v>27</v>
      </c>
      <c r="K34" t="s">
        <v>27</v>
      </c>
      <c r="L34" t="s">
        <v>27</v>
      </c>
      <c r="M34">
        <v>2390</v>
      </c>
      <c r="N34">
        <v>2415</v>
      </c>
      <c r="O34">
        <v>3461</v>
      </c>
      <c r="P34">
        <v>3850</v>
      </c>
      <c r="Q34">
        <v>4657</v>
      </c>
      <c r="R34" s="4">
        <f t="shared" si="0"/>
        <v>0.18148193130433588</v>
      </c>
    </row>
    <row r="35" spans="1:18" x14ac:dyDescent="0.3">
      <c r="A35" t="s">
        <v>141</v>
      </c>
      <c r="B35" t="s">
        <v>142</v>
      </c>
      <c r="C35" t="s">
        <v>143</v>
      </c>
      <c r="D35" t="s">
        <v>144</v>
      </c>
      <c r="E35" t="s">
        <v>145</v>
      </c>
      <c r="F35" t="s">
        <v>22</v>
      </c>
      <c r="G35" t="s">
        <v>22</v>
      </c>
      <c r="H35" t="s">
        <v>22</v>
      </c>
      <c r="I35" t="s">
        <v>27</v>
      </c>
      <c r="J35" t="s">
        <v>27</v>
      </c>
      <c r="K35" t="s">
        <v>22</v>
      </c>
      <c r="L35" t="s">
        <v>27</v>
      </c>
      <c r="M35">
        <v>2519</v>
      </c>
      <c r="N35">
        <v>3938</v>
      </c>
      <c r="O35">
        <v>5190</v>
      </c>
      <c r="P35">
        <v>8203</v>
      </c>
      <c r="Q35">
        <v>8780</v>
      </c>
      <c r="R35" s="4">
        <f t="shared" si="0"/>
        <v>0.36636455401735013</v>
      </c>
    </row>
    <row r="36" spans="1:18" x14ac:dyDescent="0.3">
      <c r="A36" t="s">
        <v>146</v>
      </c>
      <c r="B36" t="s">
        <v>147</v>
      </c>
      <c r="C36" t="s">
        <v>148</v>
      </c>
      <c r="D36" t="s">
        <v>149</v>
      </c>
      <c r="E36" t="s">
        <v>145</v>
      </c>
      <c r="F36" t="s">
        <v>22</v>
      </c>
      <c r="G36" t="s">
        <v>22</v>
      </c>
      <c r="H36" t="s">
        <v>22</v>
      </c>
      <c r="I36" t="s">
        <v>22</v>
      </c>
      <c r="J36" t="s">
        <v>22</v>
      </c>
      <c r="K36" t="s">
        <v>22</v>
      </c>
      <c r="L36" t="s">
        <v>27</v>
      </c>
      <c r="M36">
        <v>138</v>
      </c>
      <c r="N36">
        <v>286</v>
      </c>
      <c r="O36">
        <v>6750</v>
      </c>
      <c r="P36">
        <v>8254</v>
      </c>
      <c r="Q36">
        <v>8656</v>
      </c>
      <c r="R36" s="4">
        <f t="shared" si="0"/>
        <v>1.8142296888697582</v>
      </c>
    </row>
    <row r="37" spans="1:18" x14ac:dyDescent="0.3">
      <c r="A37" t="s">
        <v>150</v>
      </c>
      <c r="B37" t="s">
        <v>151</v>
      </c>
      <c r="C37" t="s">
        <v>152</v>
      </c>
      <c r="D37" t="s">
        <v>153</v>
      </c>
      <c r="E37" t="s">
        <v>145</v>
      </c>
      <c r="F37" t="s">
        <v>22</v>
      </c>
      <c r="G37" t="s">
        <v>22</v>
      </c>
      <c r="H37" t="s">
        <v>22</v>
      </c>
      <c r="I37" t="s">
        <v>27</v>
      </c>
      <c r="J37" t="s">
        <v>27</v>
      </c>
      <c r="K37" t="s">
        <v>22</v>
      </c>
      <c r="L37" t="s">
        <v>22</v>
      </c>
      <c r="M37">
        <v>8873</v>
      </c>
      <c r="N37">
        <v>8484</v>
      </c>
      <c r="O37">
        <v>7883</v>
      </c>
      <c r="P37">
        <v>7499</v>
      </c>
      <c r="Q37">
        <v>6592</v>
      </c>
      <c r="R37" s="4">
        <f t="shared" ref="R37:R68" si="1">_xlfn.RRI($Q$4-$M$4,M37,Q37)</f>
        <v>-7.1596691853915484E-2</v>
      </c>
    </row>
    <row r="38" spans="1:18" x14ac:dyDescent="0.3">
      <c r="A38" t="s">
        <v>154</v>
      </c>
      <c r="B38" t="s">
        <v>155</v>
      </c>
      <c r="C38" t="s">
        <v>156</v>
      </c>
      <c r="D38" t="s">
        <v>157</v>
      </c>
      <c r="E38" t="s">
        <v>145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22</v>
      </c>
      <c r="L38" t="s">
        <v>22</v>
      </c>
      <c r="M38">
        <v>3297</v>
      </c>
      <c r="N38">
        <v>4866</v>
      </c>
      <c r="O38">
        <v>4928</v>
      </c>
      <c r="P38">
        <v>8451</v>
      </c>
      <c r="Q38">
        <v>9585</v>
      </c>
      <c r="R38" s="4">
        <f t="shared" si="1"/>
        <v>0.30577482876902251</v>
      </c>
    </row>
    <row r="39" spans="1:18" x14ac:dyDescent="0.3">
      <c r="A39" t="s">
        <v>158</v>
      </c>
      <c r="B39" t="s">
        <v>159</v>
      </c>
      <c r="C39" t="s">
        <v>160</v>
      </c>
      <c r="D39" t="s">
        <v>161</v>
      </c>
      <c r="E39" t="s">
        <v>145</v>
      </c>
      <c r="F39" t="s">
        <v>22</v>
      </c>
      <c r="G39" t="s">
        <v>22</v>
      </c>
      <c r="H39" t="s">
        <v>22</v>
      </c>
      <c r="I39" t="s">
        <v>22</v>
      </c>
      <c r="J39" t="s">
        <v>22</v>
      </c>
      <c r="K39" t="s">
        <v>22</v>
      </c>
      <c r="L39" t="s">
        <v>22</v>
      </c>
      <c r="M39">
        <v>1092</v>
      </c>
      <c r="N39">
        <v>3140</v>
      </c>
      <c r="O39">
        <v>4123</v>
      </c>
      <c r="P39">
        <v>4366</v>
      </c>
      <c r="Q39">
        <v>9482</v>
      </c>
      <c r="R39" s="4">
        <f t="shared" si="1"/>
        <v>0.71660086943635504</v>
      </c>
    </row>
    <row r="40" spans="1:18" x14ac:dyDescent="0.3">
      <c r="A40" t="s">
        <v>162</v>
      </c>
      <c r="B40" t="s">
        <v>163</v>
      </c>
      <c r="C40" t="s">
        <v>164</v>
      </c>
      <c r="D40" t="s">
        <v>165</v>
      </c>
      <c r="E40" t="s">
        <v>145</v>
      </c>
      <c r="F40" t="s">
        <v>22</v>
      </c>
      <c r="G40" t="s">
        <v>22</v>
      </c>
      <c r="H40" t="s">
        <v>22</v>
      </c>
      <c r="I40" t="s">
        <v>27</v>
      </c>
      <c r="J40" t="s">
        <v>27</v>
      </c>
      <c r="K40" t="s">
        <v>22</v>
      </c>
      <c r="L40" t="s">
        <v>22</v>
      </c>
      <c r="M40">
        <v>2541</v>
      </c>
      <c r="N40">
        <v>3794</v>
      </c>
      <c r="O40">
        <v>3984</v>
      </c>
      <c r="P40">
        <v>8803</v>
      </c>
      <c r="Q40">
        <v>9338</v>
      </c>
      <c r="R40" s="4">
        <f t="shared" si="1"/>
        <v>0.38456165928272146</v>
      </c>
    </row>
    <row r="41" spans="1:18" x14ac:dyDescent="0.3">
      <c r="A41" t="s">
        <v>166</v>
      </c>
      <c r="B41" t="s">
        <v>167</v>
      </c>
      <c r="C41" t="s">
        <v>168</v>
      </c>
      <c r="D41" t="s">
        <v>169</v>
      </c>
      <c r="E41" t="s">
        <v>145</v>
      </c>
      <c r="F41" t="s">
        <v>22</v>
      </c>
      <c r="G41" t="s">
        <v>22</v>
      </c>
      <c r="H41" t="s">
        <v>22</v>
      </c>
      <c r="I41" t="s">
        <v>22</v>
      </c>
      <c r="J41" t="s">
        <v>22</v>
      </c>
      <c r="K41" t="s">
        <v>22</v>
      </c>
      <c r="L41" t="s">
        <v>22</v>
      </c>
      <c r="M41">
        <v>742</v>
      </c>
      <c r="N41">
        <v>3751</v>
      </c>
      <c r="O41">
        <v>4423</v>
      </c>
      <c r="P41">
        <v>8733</v>
      </c>
      <c r="Q41">
        <v>9909</v>
      </c>
      <c r="R41" s="4">
        <f t="shared" si="1"/>
        <v>0.91164163510334228</v>
      </c>
    </row>
    <row r="42" spans="1:18" x14ac:dyDescent="0.3">
      <c r="A42" t="s">
        <v>170</v>
      </c>
      <c r="B42" t="s">
        <v>171</v>
      </c>
      <c r="C42" t="s">
        <v>172</v>
      </c>
      <c r="D42" t="s">
        <v>173</v>
      </c>
      <c r="E42" t="s">
        <v>145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22</v>
      </c>
      <c r="L42" t="s">
        <v>22</v>
      </c>
      <c r="M42">
        <v>7703</v>
      </c>
      <c r="N42">
        <v>6957</v>
      </c>
      <c r="O42">
        <v>3898</v>
      </c>
      <c r="P42">
        <v>1857</v>
      </c>
      <c r="Q42">
        <v>1512</v>
      </c>
      <c r="R42" s="4">
        <f t="shared" si="1"/>
        <v>-0.33438519484677687</v>
      </c>
    </row>
    <row r="43" spans="1:18" x14ac:dyDescent="0.3">
      <c r="A43" t="s">
        <v>174</v>
      </c>
      <c r="B43" t="s">
        <v>175</v>
      </c>
      <c r="C43" t="s">
        <v>176</v>
      </c>
      <c r="D43" t="s">
        <v>177</v>
      </c>
      <c r="E43" t="s">
        <v>145</v>
      </c>
      <c r="F43" t="s">
        <v>22</v>
      </c>
      <c r="G43" t="s">
        <v>22</v>
      </c>
      <c r="H43" t="s">
        <v>22</v>
      </c>
      <c r="I43" t="s">
        <v>22</v>
      </c>
      <c r="J43" t="s">
        <v>22</v>
      </c>
      <c r="K43" t="s">
        <v>22</v>
      </c>
      <c r="L43" t="s">
        <v>22</v>
      </c>
      <c r="M43">
        <v>488</v>
      </c>
      <c r="N43">
        <v>5535</v>
      </c>
      <c r="O43">
        <v>5775</v>
      </c>
      <c r="P43">
        <v>7661</v>
      </c>
      <c r="Q43">
        <v>9206</v>
      </c>
      <c r="R43" s="4">
        <f t="shared" si="1"/>
        <v>1.084072328017021</v>
      </c>
    </row>
    <row r="44" spans="1:18" x14ac:dyDescent="0.3">
      <c r="A44" t="s">
        <v>178</v>
      </c>
      <c r="B44" t="s">
        <v>179</v>
      </c>
      <c r="C44" t="s">
        <v>180</v>
      </c>
      <c r="D44" t="s">
        <v>181</v>
      </c>
      <c r="E44" t="s">
        <v>145</v>
      </c>
      <c r="F44" t="s">
        <v>22</v>
      </c>
      <c r="G44" t="s">
        <v>22</v>
      </c>
      <c r="H44" t="s">
        <v>22</v>
      </c>
      <c r="I44" t="s">
        <v>22</v>
      </c>
      <c r="J44" t="s">
        <v>22</v>
      </c>
      <c r="K44" t="s">
        <v>22</v>
      </c>
      <c r="L44" t="s">
        <v>22</v>
      </c>
      <c r="M44">
        <v>376</v>
      </c>
      <c r="N44">
        <v>889</v>
      </c>
      <c r="O44">
        <v>4373</v>
      </c>
      <c r="P44">
        <v>6803</v>
      </c>
      <c r="Q44">
        <v>7578</v>
      </c>
      <c r="R44" s="4">
        <f t="shared" si="1"/>
        <v>1.1188084145320056</v>
      </c>
    </row>
    <row r="45" spans="1:18" x14ac:dyDescent="0.3">
      <c r="A45" t="s">
        <v>182</v>
      </c>
      <c r="B45" t="s">
        <v>183</v>
      </c>
      <c r="C45" t="s">
        <v>184</v>
      </c>
      <c r="D45" t="s">
        <v>185</v>
      </c>
      <c r="E45" t="s">
        <v>145</v>
      </c>
      <c r="F45" t="s">
        <v>22</v>
      </c>
      <c r="G45" t="s">
        <v>27</v>
      </c>
      <c r="H45" t="s">
        <v>27</v>
      </c>
      <c r="I45" t="s">
        <v>27</v>
      </c>
      <c r="J45" t="s">
        <v>27</v>
      </c>
      <c r="K45" t="s">
        <v>22</v>
      </c>
      <c r="L45" t="s">
        <v>22</v>
      </c>
      <c r="M45">
        <v>7840</v>
      </c>
      <c r="N45">
        <v>5804</v>
      </c>
      <c r="O45">
        <v>4259</v>
      </c>
      <c r="P45">
        <v>4243</v>
      </c>
      <c r="Q45">
        <v>907</v>
      </c>
      <c r="R45" s="4">
        <f t="shared" si="1"/>
        <v>-0.41679289513417705</v>
      </c>
    </row>
    <row r="46" spans="1:18" x14ac:dyDescent="0.3">
      <c r="A46" t="s">
        <v>186</v>
      </c>
      <c r="B46" t="s">
        <v>187</v>
      </c>
      <c r="C46" t="s">
        <v>188</v>
      </c>
      <c r="D46" t="s">
        <v>189</v>
      </c>
      <c r="E46" t="s">
        <v>145</v>
      </c>
      <c r="F46" t="s">
        <v>22</v>
      </c>
      <c r="G46" t="s">
        <v>22</v>
      </c>
      <c r="H46" t="s">
        <v>22</v>
      </c>
      <c r="I46" t="s">
        <v>22</v>
      </c>
      <c r="J46" t="s">
        <v>22</v>
      </c>
      <c r="K46" t="s">
        <v>22</v>
      </c>
      <c r="L46" t="s">
        <v>22</v>
      </c>
      <c r="M46">
        <v>1038</v>
      </c>
      <c r="N46">
        <v>3615</v>
      </c>
      <c r="O46">
        <v>3712</v>
      </c>
      <c r="P46">
        <v>5819</v>
      </c>
      <c r="Q46">
        <v>9589</v>
      </c>
      <c r="R46" s="4">
        <f t="shared" si="1"/>
        <v>0.74338775485751718</v>
      </c>
    </row>
    <row r="47" spans="1:18" x14ac:dyDescent="0.3">
      <c r="A47" t="s">
        <v>190</v>
      </c>
      <c r="B47" t="s">
        <v>191</v>
      </c>
      <c r="C47" t="s">
        <v>192</v>
      </c>
      <c r="D47" t="s">
        <v>193</v>
      </c>
      <c r="E47" t="s">
        <v>145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8891</v>
      </c>
      <c r="N47">
        <v>5952</v>
      </c>
      <c r="O47">
        <v>5914</v>
      </c>
      <c r="P47">
        <v>5405</v>
      </c>
      <c r="Q47">
        <v>4031</v>
      </c>
      <c r="R47" s="4">
        <f t="shared" si="1"/>
        <v>-0.17943016656995925</v>
      </c>
    </row>
    <row r="48" spans="1:18" x14ac:dyDescent="0.3">
      <c r="A48" t="s">
        <v>194</v>
      </c>
      <c r="B48" t="s">
        <v>195</v>
      </c>
      <c r="C48" t="s">
        <v>196</v>
      </c>
      <c r="D48" t="s">
        <v>197</v>
      </c>
      <c r="E48" t="s">
        <v>145</v>
      </c>
      <c r="F48" t="s">
        <v>22</v>
      </c>
      <c r="G48" t="s">
        <v>22</v>
      </c>
      <c r="H48" t="s">
        <v>22</v>
      </c>
      <c r="I48" t="s">
        <v>22</v>
      </c>
      <c r="J48" t="s">
        <v>27</v>
      </c>
      <c r="K48" t="s">
        <v>27</v>
      </c>
      <c r="L48" t="s">
        <v>27</v>
      </c>
      <c r="M48">
        <v>1290</v>
      </c>
      <c r="N48">
        <v>4033</v>
      </c>
      <c r="O48">
        <v>6956</v>
      </c>
      <c r="P48">
        <v>7929</v>
      </c>
      <c r="Q48">
        <v>8834</v>
      </c>
      <c r="R48" s="4">
        <f t="shared" si="1"/>
        <v>0.61767741115573149</v>
      </c>
    </row>
    <row r="49" spans="1:18" x14ac:dyDescent="0.3">
      <c r="A49" t="s">
        <v>198</v>
      </c>
      <c r="B49" t="s">
        <v>199</v>
      </c>
      <c r="C49" t="s">
        <v>200</v>
      </c>
      <c r="D49" t="s">
        <v>201</v>
      </c>
      <c r="E49" t="s">
        <v>145</v>
      </c>
      <c r="F49" t="s">
        <v>22</v>
      </c>
      <c r="G49" t="s">
        <v>22</v>
      </c>
      <c r="H49" t="s">
        <v>22</v>
      </c>
      <c r="I49" t="s">
        <v>22</v>
      </c>
      <c r="J49" t="s">
        <v>22</v>
      </c>
      <c r="K49" t="s">
        <v>27</v>
      </c>
      <c r="L49" t="s">
        <v>27</v>
      </c>
      <c r="M49">
        <v>431</v>
      </c>
      <c r="N49">
        <v>6231</v>
      </c>
      <c r="O49">
        <v>7478</v>
      </c>
      <c r="P49">
        <v>8039</v>
      </c>
      <c r="Q49">
        <v>8271</v>
      </c>
      <c r="R49" s="4">
        <f t="shared" si="1"/>
        <v>1.0930046233022455</v>
      </c>
    </row>
    <row r="50" spans="1:18" x14ac:dyDescent="0.3">
      <c r="A50" t="s">
        <v>202</v>
      </c>
      <c r="B50" t="s">
        <v>203</v>
      </c>
      <c r="C50" t="s">
        <v>204</v>
      </c>
      <c r="D50" t="s">
        <v>205</v>
      </c>
      <c r="E50" t="s">
        <v>206</v>
      </c>
      <c r="F50" t="s">
        <v>22</v>
      </c>
      <c r="G50" t="s">
        <v>27</v>
      </c>
      <c r="H50" t="s">
        <v>27</v>
      </c>
      <c r="I50" t="s">
        <v>27</v>
      </c>
      <c r="J50" t="s">
        <v>27</v>
      </c>
      <c r="K50" t="s">
        <v>22</v>
      </c>
      <c r="L50" t="s">
        <v>27</v>
      </c>
      <c r="M50">
        <v>8156</v>
      </c>
      <c r="N50">
        <v>1245</v>
      </c>
      <c r="O50">
        <v>791</v>
      </c>
      <c r="P50">
        <v>338</v>
      </c>
      <c r="Q50">
        <v>44</v>
      </c>
      <c r="R50" s="4">
        <f t="shared" si="1"/>
        <v>-0.72898466539472961</v>
      </c>
    </row>
    <row r="51" spans="1:18" x14ac:dyDescent="0.3">
      <c r="A51" t="s">
        <v>207</v>
      </c>
      <c r="B51" t="s">
        <v>208</v>
      </c>
      <c r="C51" t="s">
        <v>209</v>
      </c>
      <c r="D51" t="s">
        <v>210</v>
      </c>
      <c r="E51" t="s">
        <v>206</v>
      </c>
      <c r="F51" t="s">
        <v>22</v>
      </c>
      <c r="G51" t="s">
        <v>22</v>
      </c>
      <c r="H51" t="s">
        <v>22</v>
      </c>
      <c r="I51" t="s">
        <v>27</v>
      </c>
      <c r="J51" t="s">
        <v>27</v>
      </c>
      <c r="K51" t="s">
        <v>22</v>
      </c>
      <c r="L51" t="s">
        <v>27</v>
      </c>
      <c r="M51">
        <v>299</v>
      </c>
      <c r="N51">
        <v>657</v>
      </c>
      <c r="O51">
        <v>6238</v>
      </c>
      <c r="P51">
        <v>8922</v>
      </c>
      <c r="Q51">
        <v>9081</v>
      </c>
      <c r="R51" s="4">
        <f t="shared" si="1"/>
        <v>1.3475541667800686</v>
      </c>
    </row>
    <row r="52" spans="1:18" x14ac:dyDescent="0.3">
      <c r="A52" t="s">
        <v>211</v>
      </c>
      <c r="B52" t="s">
        <v>212</v>
      </c>
      <c r="C52" t="s">
        <v>213</v>
      </c>
      <c r="D52" t="s">
        <v>214</v>
      </c>
      <c r="E52" t="s">
        <v>206</v>
      </c>
      <c r="F52" t="s">
        <v>22</v>
      </c>
      <c r="G52" t="s">
        <v>22</v>
      </c>
      <c r="H52" t="s">
        <v>22</v>
      </c>
      <c r="I52" t="s">
        <v>27</v>
      </c>
      <c r="J52" t="s">
        <v>27</v>
      </c>
      <c r="K52" t="s">
        <v>22</v>
      </c>
      <c r="L52" t="s">
        <v>27</v>
      </c>
      <c r="M52">
        <v>1323</v>
      </c>
      <c r="N52">
        <v>4963</v>
      </c>
      <c r="O52">
        <v>6292</v>
      </c>
      <c r="P52">
        <v>6728</v>
      </c>
      <c r="Q52">
        <v>8202</v>
      </c>
      <c r="R52" s="4">
        <f t="shared" si="1"/>
        <v>0.57793816418173161</v>
      </c>
    </row>
    <row r="53" spans="1:18" x14ac:dyDescent="0.3">
      <c r="A53" t="s">
        <v>215</v>
      </c>
      <c r="B53" t="s">
        <v>216</v>
      </c>
      <c r="C53" t="s">
        <v>217</v>
      </c>
      <c r="D53" t="s">
        <v>218</v>
      </c>
      <c r="E53" t="s">
        <v>206</v>
      </c>
      <c r="F53" t="s">
        <v>22</v>
      </c>
      <c r="G53" t="s">
        <v>27</v>
      </c>
      <c r="H53" t="s">
        <v>27</v>
      </c>
      <c r="I53" t="s">
        <v>27</v>
      </c>
      <c r="J53" t="s">
        <v>27</v>
      </c>
      <c r="K53" t="s">
        <v>22</v>
      </c>
      <c r="L53" t="s">
        <v>27</v>
      </c>
      <c r="M53">
        <v>8466</v>
      </c>
      <c r="N53">
        <v>4079</v>
      </c>
      <c r="O53">
        <v>2797</v>
      </c>
      <c r="P53">
        <v>2245</v>
      </c>
      <c r="Q53">
        <v>1696</v>
      </c>
      <c r="R53" s="4">
        <f t="shared" si="1"/>
        <v>-0.33098339677163802</v>
      </c>
    </row>
    <row r="54" spans="1:18" x14ac:dyDescent="0.3">
      <c r="A54" t="s">
        <v>219</v>
      </c>
      <c r="B54" t="s">
        <v>220</v>
      </c>
      <c r="C54" t="s">
        <v>221</v>
      </c>
      <c r="D54" t="s">
        <v>222</v>
      </c>
      <c r="E54" t="s">
        <v>206</v>
      </c>
      <c r="F54" t="s">
        <v>22</v>
      </c>
      <c r="G54" t="s">
        <v>22</v>
      </c>
      <c r="H54" t="s">
        <v>22</v>
      </c>
      <c r="I54" t="s">
        <v>27</v>
      </c>
      <c r="J54" t="s">
        <v>27</v>
      </c>
      <c r="K54" t="s">
        <v>22</v>
      </c>
      <c r="L54" t="s">
        <v>27</v>
      </c>
      <c r="M54">
        <v>870</v>
      </c>
      <c r="N54">
        <v>2428</v>
      </c>
      <c r="O54">
        <v>7386</v>
      </c>
      <c r="P54">
        <v>8835</v>
      </c>
      <c r="Q54">
        <v>9766</v>
      </c>
      <c r="R54" s="4">
        <f t="shared" si="1"/>
        <v>0.83041416010220881</v>
      </c>
    </row>
    <row r="55" spans="1:18" x14ac:dyDescent="0.3">
      <c r="A55" t="s">
        <v>223</v>
      </c>
      <c r="B55" t="s">
        <v>224</v>
      </c>
      <c r="C55" t="s">
        <v>225</v>
      </c>
      <c r="D55" t="s">
        <v>226</v>
      </c>
      <c r="E55" t="s">
        <v>206</v>
      </c>
      <c r="F55" t="s">
        <v>22</v>
      </c>
      <c r="G55" t="s">
        <v>22</v>
      </c>
      <c r="H55" t="s">
        <v>22</v>
      </c>
      <c r="I55" t="s">
        <v>27</v>
      </c>
      <c r="J55" t="s">
        <v>27</v>
      </c>
      <c r="K55" t="s">
        <v>22</v>
      </c>
      <c r="L55" t="s">
        <v>27</v>
      </c>
      <c r="M55">
        <v>1497</v>
      </c>
      <c r="N55">
        <v>1768</v>
      </c>
      <c r="O55">
        <v>2804</v>
      </c>
      <c r="P55">
        <v>5718</v>
      </c>
      <c r="Q55">
        <v>9822</v>
      </c>
      <c r="R55" s="4">
        <f t="shared" si="1"/>
        <v>0.60045892388204325</v>
      </c>
    </row>
    <row r="56" spans="1:18" x14ac:dyDescent="0.3">
      <c r="A56" t="s">
        <v>227</v>
      </c>
      <c r="B56" t="s">
        <v>228</v>
      </c>
      <c r="C56" t="s">
        <v>229</v>
      </c>
      <c r="D56" t="s">
        <v>230</v>
      </c>
      <c r="E56" t="s">
        <v>206</v>
      </c>
      <c r="F56" t="s">
        <v>22</v>
      </c>
      <c r="G56" t="s">
        <v>22</v>
      </c>
      <c r="H56" t="s">
        <v>22</v>
      </c>
      <c r="I56" t="s">
        <v>27</v>
      </c>
      <c r="J56" t="s">
        <v>27</v>
      </c>
      <c r="K56" t="s">
        <v>22</v>
      </c>
      <c r="L56" t="s">
        <v>27</v>
      </c>
      <c r="M56">
        <v>1082</v>
      </c>
      <c r="N56">
        <v>3353</v>
      </c>
      <c r="O56">
        <v>6351</v>
      </c>
      <c r="P56">
        <v>8550</v>
      </c>
      <c r="Q56">
        <v>9272</v>
      </c>
      <c r="R56" s="4">
        <f t="shared" si="1"/>
        <v>0.71094693671276654</v>
      </c>
    </row>
    <row r="57" spans="1:18" x14ac:dyDescent="0.3">
      <c r="A57" t="s">
        <v>231</v>
      </c>
      <c r="B57" t="s">
        <v>232</v>
      </c>
      <c r="C57" t="s">
        <v>233</v>
      </c>
      <c r="D57" t="s">
        <v>234</v>
      </c>
      <c r="E57" t="s">
        <v>206</v>
      </c>
      <c r="F57" t="s">
        <v>22</v>
      </c>
      <c r="G57" t="s">
        <v>22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9791</v>
      </c>
      <c r="N57">
        <v>9610</v>
      </c>
      <c r="O57">
        <v>7534</v>
      </c>
      <c r="P57">
        <v>5080</v>
      </c>
      <c r="Q57">
        <v>4936</v>
      </c>
      <c r="R57" s="4">
        <f t="shared" si="1"/>
        <v>-0.15736979056747447</v>
      </c>
    </row>
    <row r="58" spans="1:18" x14ac:dyDescent="0.3">
      <c r="A58" t="s">
        <v>235</v>
      </c>
      <c r="B58" t="s">
        <v>236</v>
      </c>
      <c r="C58" t="s">
        <v>237</v>
      </c>
      <c r="D58" t="s">
        <v>238</v>
      </c>
      <c r="E58" t="s">
        <v>206</v>
      </c>
      <c r="F58" t="s">
        <v>22</v>
      </c>
      <c r="G58" t="s">
        <v>22</v>
      </c>
      <c r="H58" t="s">
        <v>22</v>
      </c>
      <c r="I58" t="s">
        <v>27</v>
      </c>
      <c r="J58" t="s">
        <v>27</v>
      </c>
      <c r="K58" t="s">
        <v>22</v>
      </c>
      <c r="L58" t="s">
        <v>27</v>
      </c>
      <c r="M58">
        <v>1357</v>
      </c>
      <c r="N58">
        <v>4189</v>
      </c>
      <c r="O58">
        <v>5407</v>
      </c>
      <c r="P58">
        <v>6233</v>
      </c>
      <c r="Q58">
        <v>9681</v>
      </c>
      <c r="R58" s="4">
        <f t="shared" si="1"/>
        <v>0.63431246502429839</v>
      </c>
    </row>
    <row r="59" spans="1:18" x14ac:dyDescent="0.3">
      <c r="A59" t="s">
        <v>239</v>
      </c>
      <c r="B59" t="s">
        <v>240</v>
      </c>
      <c r="C59" t="s">
        <v>241</v>
      </c>
      <c r="D59" t="s">
        <v>242</v>
      </c>
      <c r="E59" t="s">
        <v>206</v>
      </c>
      <c r="F59" t="s">
        <v>22</v>
      </c>
      <c r="G59" t="s">
        <v>27</v>
      </c>
      <c r="H59" t="s">
        <v>27</v>
      </c>
      <c r="I59" t="s">
        <v>27</v>
      </c>
      <c r="J59" t="s">
        <v>27</v>
      </c>
      <c r="K59" t="s">
        <v>22</v>
      </c>
      <c r="L59" t="s">
        <v>27</v>
      </c>
      <c r="M59">
        <v>576</v>
      </c>
      <c r="N59">
        <v>2628</v>
      </c>
      <c r="O59">
        <v>3612</v>
      </c>
      <c r="P59">
        <v>5066</v>
      </c>
      <c r="Q59">
        <v>5156</v>
      </c>
      <c r="R59" s="4">
        <f t="shared" si="1"/>
        <v>0.72970725225475852</v>
      </c>
    </row>
    <row r="60" spans="1:18" x14ac:dyDescent="0.3">
      <c r="A60" t="s">
        <v>243</v>
      </c>
      <c r="B60" t="s">
        <v>244</v>
      </c>
      <c r="C60" t="s">
        <v>245</v>
      </c>
      <c r="D60" t="s">
        <v>246</v>
      </c>
      <c r="E60" t="s">
        <v>206</v>
      </c>
      <c r="F60" t="s">
        <v>22</v>
      </c>
      <c r="G60" t="s">
        <v>22</v>
      </c>
      <c r="H60" t="s">
        <v>22</v>
      </c>
      <c r="I60" t="s">
        <v>27</v>
      </c>
      <c r="J60" t="s">
        <v>27</v>
      </c>
      <c r="K60" t="s">
        <v>22</v>
      </c>
      <c r="L60" t="s">
        <v>27</v>
      </c>
      <c r="M60">
        <v>128</v>
      </c>
      <c r="N60">
        <v>416</v>
      </c>
      <c r="O60">
        <v>747</v>
      </c>
      <c r="P60">
        <v>1028</v>
      </c>
      <c r="Q60">
        <v>6357</v>
      </c>
      <c r="R60" s="4">
        <f t="shared" si="1"/>
        <v>1.6546701130112136</v>
      </c>
    </row>
    <row r="61" spans="1:18" x14ac:dyDescent="0.3">
      <c r="A61" t="s">
        <v>247</v>
      </c>
      <c r="B61" t="s">
        <v>248</v>
      </c>
      <c r="C61" t="s">
        <v>249</v>
      </c>
      <c r="D61" t="s">
        <v>250</v>
      </c>
      <c r="E61" t="s">
        <v>206</v>
      </c>
      <c r="F61" t="s">
        <v>22</v>
      </c>
      <c r="G61" t="s">
        <v>27</v>
      </c>
      <c r="H61" t="s">
        <v>27</v>
      </c>
      <c r="I61" t="s">
        <v>27</v>
      </c>
      <c r="J61" t="s">
        <v>27</v>
      </c>
      <c r="K61" t="s">
        <v>27</v>
      </c>
      <c r="L61" t="s">
        <v>27</v>
      </c>
      <c r="M61">
        <v>8034</v>
      </c>
      <c r="N61">
        <v>6541</v>
      </c>
      <c r="O61">
        <v>3311</v>
      </c>
      <c r="P61">
        <v>3254</v>
      </c>
      <c r="Q61">
        <v>2687</v>
      </c>
      <c r="R61" s="4">
        <f t="shared" si="1"/>
        <v>-0.23952671916055424</v>
      </c>
    </row>
    <row r="62" spans="1:18" x14ac:dyDescent="0.3">
      <c r="A62" t="s">
        <v>251</v>
      </c>
      <c r="B62" t="s">
        <v>252</v>
      </c>
      <c r="C62" t="s">
        <v>253</v>
      </c>
      <c r="D62" t="s">
        <v>254</v>
      </c>
      <c r="E62" t="s">
        <v>206</v>
      </c>
      <c r="F62" t="s">
        <v>22</v>
      </c>
      <c r="G62" t="s">
        <v>22</v>
      </c>
      <c r="H62" t="s">
        <v>22</v>
      </c>
      <c r="I62" t="s">
        <v>27</v>
      </c>
      <c r="J62" t="s">
        <v>27</v>
      </c>
      <c r="K62" t="s">
        <v>27</v>
      </c>
      <c r="L62" t="s">
        <v>27</v>
      </c>
      <c r="M62">
        <v>1263</v>
      </c>
      <c r="N62">
        <v>2517</v>
      </c>
      <c r="O62">
        <v>8042</v>
      </c>
      <c r="P62">
        <v>8222</v>
      </c>
      <c r="Q62">
        <v>9686</v>
      </c>
      <c r="R62" s="4">
        <f t="shared" si="1"/>
        <v>0.66412244620782168</v>
      </c>
    </row>
    <row r="63" spans="1:18" x14ac:dyDescent="0.3">
      <c r="A63" t="s">
        <v>255</v>
      </c>
      <c r="B63" t="s">
        <v>256</v>
      </c>
      <c r="C63" t="s">
        <v>257</v>
      </c>
      <c r="D63" t="s">
        <v>258</v>
      </c>
      <c r="E63" t="s">
        <v>206</v>
      </c>
      <c r="F63" t="s">
        <v>22</v>
      </c>
      <c r="G63" t="s">
        <v>22</v>
      </c>
      <c r="H63" t="s">
        <v>22</v>
      </c>
      <c r="I63" t="s">
        <v>27</v>
      </c>
      <c r="J63" t="s">
        <v>27</v>
      </c>
      <c r="K63" t="s">
        <v>27</v>
      </c>
      <c r="L63" t="s">
        <v>27</v>
      </c>
      <c r="M63">
        <v>1032</v>
      </c>
      <c r="N63">
        <v>3919</v>
      </c>
      <c r="O63">
        <v>4466</v>
      </c>
      <c r="P63">
        <v>5568</v>
      </c>
      <c r="Q63">
        <v>6476</v>
      </c>
      <c r="R63" s="4">
        <f t="shared" si="1"/>
        <v>0.58272982283102692</v>
      </c>
    </row>
    <row r="64" spans="1:18" x14ac:dyDescent="0.3">
      <c r="A64" t="s">
        <v>259</v>
      </c>
      <c r="B64" t="s">
        <v>260</v>
      </c>
      <c r="C64" t="s">
        <v>261</v>
      </c>
      <c r="D64" t="s">
        <v>262</v>
      </c>
      <c r="E64" t="s">
        <v>206</v>
      </c>
      <c r="F64" t="s">
        <v>22</v>
      </c>
      <c r="G64" t="s">
        <v>22</v>
      </c>
      <c r="H64" t="s">
        <v>22</v>
      </c>
      <c r="I64" t="s">
        <v>27</v>
      </c>
      <c r="J64" t="s">
        <v>27</v>
      </c>
      <c r="K64" t="s">
        <v>27</v>
      </c>
      <c r="L64" t="s">
        <v>27</v>
      </c>
      <c r="M64">
        <v>1014</v>
      </c>
      <c r="N64">
        <v>2254</v>
      </c>
      <c r="O64">
        <v>4534</v>
      </c>
      <c r="P64">
        <v>6796</v>
      </c>
      <c r="Q64">
        <v>7730</v>
      </c>
      <c r="R64" s="4">
        <f t="shared" si="1"/>
        <v>0.66163405613342663</v>
      </c>
    </row>
  </sheetData>
  <sortState xmlns:xlrd2="http://schemas.microsoft.com/office/spreadsheetml/2017/richdata2" columnSort="1" ref="M64:Q64">
    <sortCondition ref="M64:Q64"/>
  </sortState>
  <phoneticPr fontId="3" type="noConversion"/>
  <pageMargins left="0.7" right="0.7" top="0.75" bottom="0.75" header="0.3" footer="0.3"/>
  <pageSetup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120F99-195D-44F0-A209-9CDAD29CD3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Table1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Disha Varshney</cp:lastModifiedBy>
  <cp:revision/>
  <dcterms:created xsi:type="dcterms:W3CDTF">2022-01-18T02:47:06Z</dcterms:created>
  <dcterms:modified xsi:type="dcterms:W3CDTF">2024-03-24T08:24:32Z</dcterms:modified>
  <cp:category/>
  <cp:contentStatus/>
</cp:coreProperties>
</file>